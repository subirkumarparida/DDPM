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drawings/drawing3.xml" ContentType="application/vnd.openxmlformats-officedocument.drawing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drawings/drawing4.xml" ContentType="application/vnd.openxmlformats-officedocument.drawing+xml"/>
  <Override PartName="/xl/charts/chart2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adae42a5ff17c16/Documents/GitHub/Diffusion/Plots/"/>
    </mc:Choice>
  </mc:AlternateContent>
  <xr:revisionPtr revIDLastSave="1" documentId="11_559478427305A5EBB97C42CAB1EF61E78735F731" xr6:coauthVersionLast="47" xr6:coauthVersionMax="47" xr10:uidLastSave="{FC3F22F1-226C-4DF3-96B4-595570CD9561}"/>
  <bookViews>
    <workbookView xWindow="-110" yWindow="-110" windowWidth="19420" windowHeight="10300" tabRatio="500" activeTab="1" xr2:uid="{00000000-000D-0000-FFFF-FFFF00000000}"/>
  </bookViews>
  <sheets>
    <sheet name="Race" sheetId="1" r:id="rId1"/>
    <sheet name="Gender" sheetId="2" r:id="rId2"/>
    <sheet name="Age" sheetId="3" r:id="rId3"/>
    <sheet name="Sheet1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23" i="2" l="1"/>
  <c r="E68" i="3"/>
  <c r="D68" i="3"/>
  <c r="C68" i="3"/>
  <c r="E37" i="3"/>
  <c r="D37" i="3"/>
  <c r="C37" i="3"/>
  <c r="B37" i="3"/>
  <c r="E9" i="3"/>
  <c r="D9" i="3"/>
  <c r="C9" i="3"/>
  <c r="B9" i="3"/>
  <c r="E23" i="2"/>
  <c r="D23" i="2"/>
  <c r="E14" i="2"/>
  <c r="D14" i="2"/>
  <c r="C14" i="2"/>
  <c r="E4" i="2"/>
  <c r="D4" i="2"/>
  <c r="C4" i="2"/>
  <c r="B4" i="2"/>
  <c r="E40" i="1"/>
  <c r="D40" i="1"/>
  <c r="C40" i="1"/>
  <c r="E24" i="1"/>
  <c r="D24" i="1"/>
  <c r="C24" i="1"/>
  <c r="F6" i="1"/>
  <c r="E6" i="1"/>
  <c r="D6" i="1"/>
  <c r="C6" i="1"/>
  <c r="B6" i="1"/>
</calcChain>
</file>

<file path=xl/sharedStrings.xml><?xml version="1.0" encoding="utf-8"?>
<sst xmlns="http://schemas.openxmlformats.org/spreadsheetml/2006/main" count="117" uniqueCount="29">
  <si>
    <t>LDM</t>
  </si>
  <si>
    <t>DDGAN</t>
  </si>
  <si>
    <t>DDPM</t>
  </si>
  <si>
    <t>Train</t>
  </si>
  <si>
    <t>White</t>
  </si>
  <si>
    <t>Asian</t>
  </si>
  <si>
    <t>Black</t>
  </si>
  <si>
    <t>Indian</t>
  </si>
  <si>
    <t>Disparity</t>
  </si>
  <si>
    <t>Dataset</t>
  </si>
  <si>
    <t>CelebA-HQ</t>
  </si>
  <si>
    <t>FairFace</t>
  </si>
  <si>
    <t>-</t>
  </si>
  <si>
    <t>Bal-FairFace</t>
  </si>
  <si>
    <t>Male</t>
  </si>
  <si>
    <t>Female</t>
  </si>
  <si>
    <t>10 – 19</t>
  </si>
  <si>
    <t>20 – 29</t>
  </si>
  <si>
    <t>30 – 39</t>
  </si>
  <si>
    <t>40 – 49</t>
  </si>
  <si>
    <t>50 – 59</t>
  </si>
  <si>
    <t>60 – 69</t>
  </si>
  <si>
    <t>70++</t>
  </si>
  <si>
    <t>0 – 2</t>
  </si>
  <si>
    <t>3 – 9</t>
  </si>
  <si>
    <t>Model 1</t>
  </si>
  <si>
    <t>Model 2</t>
  </si>
  <si>
    <t>Model 3</t>
  </si>
  <si>
    <t>Model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</si>
</sst>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420E"/>
      <rgbColor rgb="FF00FF00"/>
      <rgbColor rgb="FF0000FF"/>
      <rgbColor rgb="FFFFD320"/>
      <rgbColor rgb="FFFF00FF"/>
      <rgbColor rgb="FF00FFFF"/>
      <rgbColor rgb="FF7E0021"/>
      <rgbColor rgb="FF008000"/>
      <rgbColor rgb="FF000080"/>
      <rgbColor rgb="FF70AD47"/>
      <rgbColor rgb="FF800080"/>
      <rgbColor rgb="FF008080"/>
      <rgbColor rgb="FFB3B3B3"/>
      <rgbColor rgb="FF595959"/>
      <rgbColor rgb="FF5B9BD5"/>
      <rgbColor rgb="FF993366"/>
      <rgbColor rgb="FFFFFFCC"/>
      <rgbColor rgb="FFCCFFFF"/>
      <rgbColor rgb="FF4B1F6F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3CAFF"/>
      <rgbColor rgb="FFFF99CC"/>
      <rgbColor rgb="FFCC99FF"/>
      <rgbColor rgb="FFFFCC99"/>
      <rgbColor rgb="FF4472C4"/>
      <rgbColor rgb="FF33CCCC"/>
      <rgbColor rgb="FFAECF00"/>
      <rgbColor rgb="FFFFC000"/>
      <rgbColor rgb="FFFF9900"/>
      <rgbColor rgb="FFED7D31"/>
      <rgbColor rgb="FF636363"/>
      <rgbColor rgb="FFA5A5A5"/>
      <rgbColor rgb="FF004586"/>
      <rgbColor rgb="FF579D1C"/>
      <rgbColor rgb="FF003300"/>
      <rgbColor rgb="FF314004"/>
      <rgbColor rgb="FF9E480E"/>
      <rgbColor rgb="FF993366"/>
      <rgbColor rgb="FF264478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view3D>
      <c:rotX val="15"/>
      <c:rotY val="20"/>
      <c:rAngAx val="1"/>
    </c:view3D>
    <c:floor>
      <c:thickness val="0"/>
      <c:spPr>
        <a:noFill/>
        <a:ln w="6480">
          <a:noFill/>
        </a:ln>
      </c:spPr>
    </c:floor>
    <c:sideWall>
      <c:thickness val="0"/>
      <c:spPr>
        <a:noFill/>
        <a:ln w="6480">
          <a:noFill/>
        </a:ln>
      </c:spPr>
    </c:sideWall>
    <c:backWall>
      <c:thickness val="0"/>
      <c:spPr>
        <a:noFill/>
        <a:ln w="6480">
          <a:noFill/>
        </a:ln>
      </c:spPr>
    </c:backWall>
    <c:plotArea>
      <c:layout/>
      <c:bar3DChart>
        <c:barDir val="bar"/>
        <c:grouping val="percentStacked"/>
        <c:varyColors val="0"/>
        <c:ser>
          <c:idx val="0"/>
          <c:order val="0"/>
          <c:tx>
            <c:strRef>
              <c:f>Race!$A$2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800" b="0" strike="noStrike" spc="-1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Race!$B$1:$E$1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Race!$B$2:$E$2</c:f>
              <c:numCache>
                <c:formatCode>General</c:formatCode>
                <c:ptCount val="4"/>
                <c:pt idx="0">
                  <c:v>91</c:v>
                </c:pt>
                <c:pt idx="1">
                  <c:v>82</c:v>
                </c:pt>
                <c:pt idx="2">
                  <c:v>89</c:v>
                </c:pt>
                <c:pt idx="3">
                  <c:v>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13-4D09-BB60-7874391AF5D7}"/>
            </c:ext>
          </c:extLst>
        </c:ser>
        <c:ser>
          <c:idx val="1"/>
          <c:order val="1"/>
          <c:tx>
            <c:strRef>
              <c:f>Race!$A$3</c:f>
              <c:strCache>
                <c:ptCount val="1"/>
                <c:pt idx="0">
                  <c:v>Asian</c:v>
                </c:pt>
              </c:strCache>
            </c:strRef>
          </c:tx>
          <c:spPr>
            <a:solidFill>
              <a:srgbClr val="A5A5A5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Race!$B$1:$E$1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Race!$B$3:$E$3</c:f>
              <c:numCache>
                <c:formatCode>General</c:formatCode>
                <c:ptCount val="4"/>
                <c:pt idx="0">
                  <c:v>3</c:v>
                </c:pt>
                <c:pt idx="1">
                  <c:v>2</c:v>
                </c:pt>
                <c:pt idx="2">
                  <c:v>5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13-4D09-BB60-7874391AF5D7}"/>
            </c:ext>
          </c:extLst>
        </c:ser>
        <c:ser>
          <c:idx val="2"/>
          <c:order val="2"/>
          <c:tx>
            <c:strRef>
              <c:f>Race!$A$4</c:f>
              <c:strCache>
                <c:ptCount val="1"/>
                <c:pt idx="0">
                  <c:v>Black</c:v>
                </c:pt>
              </c:strCache>
            </c:strRef>
          </c:tx>
          <c:spPr>
            <a:solidFill>
              <a:srgbClr val="5B9BD5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Race!$B$1:$E$1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Race!$B$4:$E$4</c:f>
              <c:numCache>
                <c:formatCode>General</c:formatCode>
                <c:ptCount val="4"/>
                <c:pt idx="0">
                  <c:v>4</c:v>
                </c:pt>
                <c:pt idx="1">
                  <c:v>6</c:v>
                </c:pt>
                <c:pt idx="2">
                  <c:v>4</c:v>
                </c:pt>
                <c:pt idx="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13-4D09-BB60-7874391AF5D7}"/>
            </c:ext>
          </c:extLst>
        </c:ser>
        <c:ser>
          <c:idx val="3"/>
          <c:order val="3"/>
          <c:tx>
            <c:strRef>
              <c:f>Race!$A$5</c:f>
              <c:strCache>
                <c:ptCount val="1"/>
                <c:pt idx="0">
                  <c:v>Indian</c:v>
                </c:pt>
              </c:strCache>
            </c:strRef>
          </c:tx>
          <c:spPr>
            <a:solidFill>
              <a:srgbClr val="264478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Race!$B$1:$E$1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Race!$B$5:$E$5</c:f>
              <c:numCache>
                <c:formatCode>General</c:formatCode>
                <c:ptCount val="4"/>
                <c:pt idx="0">
                  <c:v>2</c:v>
                </c:pt>
                <c:pt idx="1">
                  <c:v>10</c:v>
                </c:pt>
                <c:pt idx="2">
                  <c:v>2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E13-4D09-BB60-7874391AF5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shape val="box"/>
        <c:axId val="72490978"/>
        <c:axId val="88284339"/>
        <c:axId val="0"/>
      </c:bar3DChart>
      <c:catAx>
        <c:axId val="7249097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88284339"/>
        <c:crosses val="autoZero"/>
        <c:auto val="1"/>
        <c:lblAlgn val="ctr"/>
        <c:lblOffset val="100"/>
        <c:noMultiLvlLbl val="0"/>
      </c:catAx>
      <c:valAx>
        <c:axId val="88284339"/>
        <c:scaling>
          <c:orientation val="minMax"/>
        </c:scaling>
        <c:delete val="0"/>
        <c:axPos val="b"/>
        <c:numFmt formatCode="0%" sourceLinked="0"/>
        <c:majorTickMark val="none"/>
        <c:minorTickMark val="none"/>
        <c:tickLblPos val="nextTo"/>
        <c:spPr>
          <a:ln w="6480">
            <a:solidFill>
              <a:srgbClr val="000000">
                <a:alpha val="92000"/>
              </a:srgbClr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72490978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600" b="1" strike="noStrike" spc="109">
                <a:solidFill>
                  <a:srgbClr val="595959"/>
                </a:solidFill>
                <a:latin typeface="Calibri"/>
              </a:defRPr>
            </a:pPr>
            <a:r>
              <a:rPr sz="1600" b="1" strike="noStrike" spc="109">
                <a:solidFill>
                  <a:srgbClr val="595959"/>
                </a:solidFill>
                <a:latin typeface="Calibri"/>
              </a:rPr>
              <a:t>Chart Title</a:t>
            </a:r>
          </a:p>
        </c:rich>
      </c:tx>
      <c:overlay val="0"/>
      <c:spPr>
        <a:noFill/>
        <a:ln>
          <a:noFill/>
        </a:ln>
      </c:spPr>
    </c:title>
    <c:autoTitleDeleted val="0"/>
    <c:view3D>
      <c:rotX val="15"/>
      <c:rotY val="20"/>
      <c:rAngAx val="1"/>
    </c:view3D>
    <c:floor>
      <c:thickness val="0"/>
      <c:spPr>
        <a:noFill/>
        <a:ln w="6480">
          <a:noFill/>
        </a:ln>
      </c:spPr>
    </c:floor>
    <c:sideWall>
      <c:thickness val="0"/>
      <c:spPr>
        <a:noFill/>
        <a:ln w="6480">
          <a:noFill/>
        </a:ln>
      </c:spPr>
    </c:sideWall>
    <c:backWall>
      <c:thickness val="0"/>
      <c:spPr>
        <a:noFill/>
        <a:ln w="6480">
          <a:noFill/>
        </a:ln>
      </c:spPr>
    </c:backWall>
    <c:plotArea>
      <c:layout/>
      <c:bar3DChart>
        <c:barDir val="bar"/>
        <c:grouping val="percentStacked"/>
        <c:varyColors val="0"/>
        <c:ser>
          <c:idx val="0"/>
          <c:order val="0"/>
          <c:tx>
            <c:strRef>
              <c:f>Race!$A$20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1" strike="noStrike" spc="-1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Race!$B$19:$E$19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Race!$B$20:$E$20</c:f>
              <c:numCache>
                <c:formatCode>General</c:formatCode>
                <c:ptCount val="4"/>
                <c:pt idx="0">
                  <c:v>0</c:v>
                </c:pt>
                <c:pt idx="1">
                  <c:v>24</c:v>
                </c:pt>
                <c:pt idx="2">
                  <c:v>51</c:v>
                </c:pt>
                <c:pt idx="3">
                  <c:v>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62-4929-B264-FB9035A74EE2}"/>
            </c:ext>
          </c:extLst>
        </c:ser>
        <c:ser>
          <c:idx val="1"/>
          <c:order val="1"/>
          <c:tx>
            <c:strRef>
              <c:f>Race!$A$21</c:f>
              <c:strCache>
                <c:ptCount val="1"/>
                <c:pt idx="0">
                  <c:v>Asian</c:v>
                </c:pt>
              </c:strCache>
            </c:strRef>
          </c:tx>
          <c:spPr>
            <a:solidFill>
              <a:srgbClr val="A5A5A5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1" strike="noStrike" spc="-1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Race!$B$19:$E$19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Race!$B$21:$E$21</c:f>
              <c:numCache>
                <c:formatCode>General</c:formatCode>
                <c:ptCount val="4"/>
                <c:pt idx="0">
                  <c:v>0</c:v>
                </c:pt>
                <c:pt idx="1">
                  <c:v>19</c:v>
                </c:pt>
                <c:pt idx="2">
                  <c:v>33</c:v>
                </c:pt>
                <c:pt idx="3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562-4929-B264-FB9035A74EE2}"/>
            </c:ext>
          </c:extLst>
        </c:ser>
        <c:ser>
          <c:idx val="2"/>
          <c:order val="2"/>
          <c:tx>
            <c:strRef>
              <c:f>Race!$A$22</c:f>
              <c:strCache>
                <c:ptCount val="1"/>
                <c:pt idx="0">
                  <c:v>Black</c:v>
                </c:pt>
              </c:strCache>
            </c:strRef>
          </c:tx>
          <c:spPr>
            <a:solidFill>
              <a:srgbClr val="5B9BD5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1" strike="noStrike" spc="-1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Race!$B$19:$E$19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Race!$B$22:$E$22</c:f>
              <c:numCache>
                <c:formatCode>General</c:formatCode>
                <c:ptCount val="4"/>
                <c:pt idx="0">
                  <c:v>0</c:v>
                </c:pt>
                <c:pt idx="1">
                  <c:v>13</c:v>
                </c:pt>
                <c:pt idx="2">
                  <c:v>7</c:v>
                </c:pt>
                <c:pt idx="3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562-4929-B264-FB9035A74EE2}"/>
            </c:ext>
          </c:extLst>
        </c:ser>
        <c:ser>
          <c:idx val="3"/>
          <c:order val="3"/>
          <c:tx>
            <c:strRef>
              <c:f>Race!$A$23</c:f>
              <c:strCache>
                <c:ptCount val="1"/>
                <c:pt idx="0">
                  <c:v>Indian</c:v>
                </c:pt>
              </c:strCache>
            </c:strRef>
          </c:tx>
          <c:spPr>
            <a:solidFill>
              <a:srgbClr val="264478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1" strike="noStrike" spc="-1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Race!$B$19:$E$19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Race!$B$23:$E$23</c:f>
              <c:numCache>
                <c:formatCode>General</c:formatCode>
                <c:ptCount val="4"/>
                <c:pt idx="0">
                  <c:v>0</c:v>
                </c:pt>
                <c:pt idx="1">
                  <c:v>44</c:v>
                </c:pt>
                <c:pt idx="2">
                  <c:v>9</c:v>
                </c:pt>
                <c:pt idx="3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562-4929-B264-FB9035A74E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9"/>
        <c:shape val="box"/>
        <c:axId val="38268011"/>
        <c:axId val="87855057"/>
        <c:axId val="0"/>
      </c:bar3DChart>
      <c:catAx>
        <c:axId val="382680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800" b="0" strike="noStrike" spc="109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87855057"/>
        <c:crosses val="autoZero"/>
        <c:auto val="1"/>
        <c:lblAlgn val="ctr"/>
        <c:lblOffset val="100"/>
        <c:noMultiLvlLbl val="0"/>
      </c:catAx>
      <c:valAx>
        <c:axId val="8785505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IN" sz="8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en-IN" sz="800" b="0" strike="noStrike" spc="-1">
                    <a:solidFill>
                      <a:srgbClr val="595959"/>
                    </a:solidFill>
                    <a:latin typeface="Calibri"/>
                  </a:rPr>
                  <a:t>percentages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0%" sourceLinked="0"/>
        <c:majorTickMark val="out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8268011"/>
        <c:crosses val="autoZero"/>
        <c:crossBetween val="between"/>
      </c:valAx>
    </c:plotArea>
    <c:legend>
      <c:legendPos val="t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600" b="1" strike="noStrike" spc="109">
                <a:solidFill>
                  <a:srgbClr val="595959"/>
                </a:solidFill>
                <a:latin typeface="Calibri"/>
              </a:defRPr>
            </a:pPr>
            <a:r>
              <a:rPr sz="1600" b="1" strike="noStrike" spc="109">
                <a:solidFill>
                  <a:srgbClr val="595959"/>
                </a:solidFill>
                <a:latin typeface="Calibri"/>
              </a:rPr>
              <a:t>Chart Title</a:t>
            </a:r>
          </a:p>
        </c:rich>
      </c:tx>
      <c:overlay val="0"/>
      <c:spPr>
        <a:noFill/>
        <a:ln>
          <a:noFill/>
        </a:ln>
      </c:spPr>
    </c:title>
    <c:autoTitleDeleted val="0"/>
    <c:view3D>
      <c:rotX val="15"/>
      <c:rotY val="20"/>
      <c:rAngAx val="1"/>
    </c:view3D>
    <c:floor>
      <c:thickness val="0"/>
      <c:spPr>
        <a:noFill/>
        <a:ln w="6480">
          <a:noFill/>
        </a:ln>
      </c:spPr>
    </c:floor>
    <c:sideWall>
      <c:thickness val="0"/>
      <c:spPr>
        <a:noFill/>
        <a:ln w="6480">
          <a:noFill/>
        </a:ln>
      </c:spPr>
    </c:sideWall>
    <c:backWall>
      <c:thickness val="0"/>
      <c:spPr>
        <a:noFill/>
        <a:ln w="6480">
          <a:noFill/>
        </a:ln>
      </c:spPr>
    </c:backWall>
    <c:plotArea>
      <c:layout/>
      <c:bar3DChart>
        <c:barDir val="bar"/>
        <c:grouping val="percentStacked"/>
        <c:varyColors val="0"/>
        <c:ser>
          <c:idx val="0"/>
          <c:order val="0"/>
          <c:tx>
            <c:strRef>
              <c:f>Race!$A$36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1" strike="noStrike" spc="-1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Race!$B$35:$E$35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Race!$B$36:$E$36</c:f>
              <c:numCache>
                <c:formatCode>General</c:formatCode>
                <c:ptCount val="4"/>
                <c:pt idx="0">
                  <c:v>0</c:v>
                </c:pt>
                <c:pt idx="1">
                  <c:v>22</c:v>
                </c:pt>
                <c:pt idx="2">
                  <c:v>42</c:v>
                </c:pt>
                <c:pt idx="3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9D-4137-BBF5-6E897A355FF7}"/>
            </c:ext>
          </c:extLst>
        </c:ser>
        <c:ser>
          <c:idx val="1"/>
          <c:order val="1"/>
          <c:tx>
            <c:strRef>
              <c:f>Race!$A$37</c:f>
              <c:strCache>
                <c:ptCount val="1"/>
                <c:pt idx="0">
                  <c:v>Asian</c:v>
                </c:pt>
              </c:strCache>
            </c:strRef>
          </c:tx>
          <c:spPr>
            <a:solidFill>
              <a:srgbClr val="A5A5A5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1" strike="noStrike" spc="-1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Race!$B$35:$E$35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Race!$B$37:$E$37</c:f>
              <c:numCache>
                <c:formatCode>General</c:formatCode>
                <c:ptCount val="4"/>
                <c:pt idx="0">
                  <c:v>0</c:v>
                </c:pt>
                <c:pt idx="1">
                  <c:v>24</c:v>
                </c:pt>
                <c:pt idx="2">
                  <c:v>27</c:v>
                </c:pt>
                <c:pt idx="3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9D-4137-BBF5-6E897A355FF7}"/>
            </c:ext>
          </c:extLst>
        </c:ser>
        <c:ser>
          <c:idx val="2"/>
          <c:order val="2"/>
          <c:tx>
            <c:strRef>
              <c:f>Race!$A$38</c:f>
              <c:strCache>
                <c:ptCount val="1"/>
                <c:pt idx="0">
                  <c:v>Black</c:v>
                </c:pt>
              </c:strCache>
            </c:strRef>
          </c:tx>
          <c:spPr>
            <a:solidFill>
              <a:srgbClr val="5B9BD5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1" strike="noStrike" spc="-1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Race!$B$35:$E$35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Race!$B$38:$E$38</c:f>
              <c:numCache>
                <c:formatCode>General</c:formatCode>
                <c:ptCount val="4"/>
                <c:pt idx="0">
                  <c:v>0</c:v>
                </c:pt>
                <c:pt idx="1">
                  <c:v>19</c:v>
                </c:pt>
                <c:pt idx="2">
                  <c:v>16</c:v>
                </c:pt>
                <c:pt idx="3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9D-4137-BBF5-6E897A355FF7}"/>
            </c:ext>
          </c:extLst>
        </c:ser>
        <c:ser>
          <c:idx val="3"/>
          <c:order val="3"/>
          <c:tx>
            <c:strRef>
              <c:f>Race!$A$39</c:f>
              <c:strCache>
                <c:ptCount val="1"/>
                <c:pt idx="0">
                  <c:v>Indian</c:v>
                </c:pt>
              </c:strCache>
            </c:strRef>
          </c:tx>
          <c:spPr>
            <a:solidFill>
              <a:srgbClr val="264478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1" strike="noStrike" spc="-1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Race!$B$35:$E$35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Race!$B$39:$E$39</c:f>
              <c:numCache>
                <c:formatCode>General</c:formatCode>
                <c:ptCount val="4"/>
                <c:pt idx="0">
                  <c:v>0</c:v>
                </c:pt>
                <c:pt idx="1">
                  <c:v>35</c:v>
                </c:pt>
                <c:pt idx="2">
                  <c:v>15</c:v>
                </c:pt>
                <c:pt idx="3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99D-4137-BBF5-6E897A355F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9"/>
        <c:shape val="box"/>
        <c:axId val="54340766"/>
        <c:axId val="77613840"/>
        <c:axId val="0"/>
      </c:bar3DChart>
      <c:catAx>
        <c:axId val="5434076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800" b="0" strike="noStrike" spc="109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77613840"/>
        <c:crosses val="autoZero"/>
        <c:auto val="1"/>
        <c:lblAlgn val="ctr"/>
        <c:lblOffset val="100"/>
        <c:noMultiLvlLbl val="0"/>
      </c:catAx>
      <c:valAx>
        <c:axId val="7761384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IN" sz="9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en-IN" sz="900" b="0" strike="noStrike" spc="-1">
                    <a:solidFill>
                      <a:srgbClr val="595959"/>
                    </a:solidFill>
                    <a:latin typeface="Calibri"/>
                  </a:rPr>
                  <a:t>percentages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0%" sourceLinked="0"/>
        <c:majorTickMark val="out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4340766"/>
        <c:crosses val="autoZero"/>
        <c:crossBetween val="between"/>
      </c:valAx>
    </c:plotArea>
    <c:legend>
      <c:legendPos val="t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Race!$B$9</c:f>
              <c:strCache>
                <c:ptCount val="1"/>
                <c:pt idx="0">
                  <c:v>Dataset</c:v>
                </c:pt>
              </c:strCache>
            </c:strRef>
          </c:tx>
          <c:spPr>
            <a:solidFill>
              <a:srgbClr val="004586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Race!$A$10:$A$12</c:f>
              <c:strCache>
                <c:ptCount val="3"/>
                <c:pt idx="0">
                  <c:v>CelebA-HQ</c:v>
                </c:pt>
                <c:pt idx="1">
                  <c:v>FairFace</c:v>
                </c:pt>
                <c:pt idx="2">
                  <c:v>Bal-FairFace</c:v>
                </c:pt>
              </c:strCache>
            </c:strRef>
          </c:cat>
          <c:val>
            <c:numRef>
              <c:f>Race!$B$10:$B$12</c:f>
              <c:numCache>
                <c:formatCode>General</c:formatCode>
                <c:ptCount val="3"/>
                <c:pt idx="0">
                  <c:v>0.33</c:v>
                </c:pt>
                <c:pt idx="1">
                  <c:v>0.08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7A-4A36-A566-929E48A9E754}"/>
            </c:ext>
          </c:extLst>
        </c:ser>
        <c:ser>
          <c:idx val="1"/>
          <c:order val="1"/>
          <c:tx>
            <c:strRef>
              <c:f>Race!$C$9</c:f>
              <c:strCache>
                <c:ptCount val="1"/>
                <c:pt idx="0">
                  <c:v>DDPM</c:v>
                </c:pt>
              </c:strCache>
            </c:strRef>
          </c:tx>
          <c:spPr>
            <a:solidFill>
              <a:srgbClr val="FF420E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Race!$A$10:$A$12</c:f>
              <c:strCache>
                <c:ptCount val="3"/>
                <c:pt idx="0">
                  <c:v>CelebA-HQ</c:v>
                </c:pt>
                <c:pt idx="1">
                  <c:v>FairFace</c:v>
                </c:pt>
                <c:pt idx="2">
                  <c:v>Bal-FairFace</c:v>
                </c:pt>
              </c:strCache>
            </c:strRef>
          </c:cat>
          <c:val>
            <c:numRef>
              <c:f>Race!$C$10:$C$12</c:f>
              <c:numCache>
                <c:formatCode>General</c:formatCode>
                <c:ptCount val="3"/>
                <c:pt idx="0">
                  <c:v>0.37</c:v>
                </c:pt>
                <c:pt idx="1">
                  <c:v>0.18</c:v>
                </c:pt>
                <c:pt idx="2">
                  <c:v>0.11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7A-4A36-A566-929E48A9E754}"/>
            </c:ext>
          </c:extLst>
        </c:ser>
        <c:ser>
          <c:idx val="2"/>
          <c:order val="2"/>
          <c:tx>
            <c:strRef>
              <c:f>Race!$D$9</c:f>
              <c:strCache>
                <c:ptCount val="1"/>
                <c:pt idx="0">
                  <c:v>DDGAN</c:v>
                </c:pt>
              </c:strCache>
            </c:strRef>
          </c:tx>
          <c:spPr>
            <a:solidFill>
              <a:srgbClr val="FFD32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Race!$A$10:$A$12</c:f>
              <c:strCache>
                <c:ptCount val="3"/>
                <c:pt idx="0">
                  <c:v>CelebA-HQ</c:v>
                </c:pt>
                <c:pt idx="1">
                  <c:v>FairFace</c:v>
                </c:pt>
                <c:pt idx="2">
                  <c:v>Bal-FairFace</c:v>
                </c:pt>
              </c:strCache>
            </c:strRef>
          </c:cat>
          <c:val>
            <c:numRef>
              <c:f>Race!$D$10:$D$12</c:f>
              <c:numCache>
                <c:formatCode>General</c:formatCode>
                <c:ptCount val="3"/>
                <c:pt idx="0">
                  <c:v>0.33</c:v>
                </c:pt>
                <c:pt idx="1">
                  <c:v>0.12</c:v>
                </c:pt>
                <c:pt idx="2">
                  <c:v>0.06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E7A-4A36-A566-929E48A9E754}"/>
            </c:ext>
          </c:extLst>
        </c:ser>
        <c:ser>
          <c:idx val="3"/>
          <c:order val="3"/>
          <c:tx>
            <c:strRef>
              <c:f>Race!$E$9</c:f>
              <c:strCache>
                <c:ptCount val="1"/>
                <c:pt idx="0">
                  <c:v>LDM</c:v>
                </c:pt>
              </c:strCache>
            </c:strRef>
          </c:tx>
          <c:spPr>
            <a:solidFill>
              <a:srgbClr val="579D1C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Race!$A$10:$A$12</c:f>
              <c:strCache>
                <c:ptCount val="3"/>
                <c:pt idx="0">
                  <c:v>CelebA-HQ</c:v>
                </c:pt>
                <c:pt idx="1">
                  <c:v>FairFace</c:v>
                </c:pt>
                <c:pt idx="2">
                  <c:v>Bal-FairFace</c:v>
                </c:pt>
              </c:strCache>
            </c:strRef>
          </c:cat>
          <c:val>
            <c:numRef>
              <c:f>Race!$E$10:$E$12</c:f>
              <c:numCache>
                <c:formatCode>General</c:formatCode>
                <c:ptCount val="3"/>
                <c:pt idx="0">
                  <c:v>0.38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E7A-4A36-A566-929E48A9E7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54655633"/>
        <c:axId val="14753666"/>
      </c:barChart>
      <c:catAx>
        <c:axId val="5465563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en-US"/>
          </a:p>
        </c:txPr>
        <c:crossAx val="14753666"/>
        <c:crosses val="autoZero"/>
        <c:auto val="1"/>
        <c:lblAlgn val="ctr"/>
        <c:lblOffset val="100"/>
        <c:noMultiLvlLbl val="0"/>
      </c:catAx>
      <c:valAx>
        <c:axId val="14753666"/>
        <c:scaling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en-US"/>
          </a:p>
        </c:txPr>
        <c:crossAx val="54655633"/>
        <c:crosses val="autoZero"/>
        <c:crossBetween val="between"/>
      </c:valAx>
      <c:spPr>
        <a:noFill/>
        <a:ln>
          <a:solidFill>
            <a:srgbClr val="B3B3B3"/>
          </a:solidFill>
        </a:ln>
      </c:spPr>
    </c:plotArea>
    <c:legend>
      <c:legendPos val="r"/>
      <c:overlay val="0"/>
      <c:spPr>
        <a:noFill/>
        <a:ln>
          <a:noFill/>
        </a:ln>
      </c:spPr>
      <c:txPr>
        <a:bodyPr/>
        <a:lstStyle/>
        <a:p>
          <a:pPr>
            <a:defRPr sz="1000" b="0" strike="noStrike" spc="-1">
              <a:latin typeface="Arial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bar"/>
        <c:grouping val="percentStacked"/>
        <c:varyColors val="0"/>
        <c:ser>
          <c:idx val="0"/>
          <c:order val="0"/>
          <c:tx>
            <c:strRef>
              <c:f>Race!$A$2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rgbClr val="004586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Race!$B$1:$E$1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Race!$B$2:$E$2</c:f>
              <c:numCache>
                <c:formatCode>General</c:formatCode>
                <c:ptCount val="4"/>
                <c:pt idx="0">
                  <c:v>91</c:v>
                </c:pt>
                <c:pt idx="1">
                  <c:v>82</c:v>
                </c:pt>
                <c:pt idx="2">
                  <c:v>89</c:v>
                </c:pt>
                <c:pt idx="3">
                  <c:v>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67-4D46-8F81-999E46ED628D}"/>
            </c:ext>
          </c:extLst>
        </c:ser>
        <c:ser>
          <c:idx val="1"/>
          <c:order val="1"/>
          <c:tx>
            <c:strRef>
              <c:f>Race!$A$3</c:f>
              <c:strCache>
                <c:ptCount val="1"/>
                <c:pt idx="0">
                  <c:v>Asian</c:v>
                </c:pt>
              </c:strCache>
            </c:strRef>
          </c:tx>
          <c:spPr>
            <a:solidFill>
              <a:srgbClr val="FF420E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Race!$B$1:$E$1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Race!$B$3:$E$3</c:f>
              <c:numCache>
                <c:formatCode>General</c:formatCode>
                <c:ptCount val="4"/>
                <c:pt idx="0">
                  <c:v>3</c:v>
                </c:pt>
                <c:pt idx="1">
                  <c:v>2</c:v>
                </c:pt>
                <c:pt idx="2">
                  <c:v>5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67-4D46-8F81-999E46ED628D}"/>
            </c:ext>
          </c:extLst>
        </c:ser>
        <c:ser>
          <c:idx val="2"/>
          <c:order val="2"/>
          <c:tx>
            <c:strRef>
              <c:f>Race!$A$4</c:f>
              <c:strCache>
                <c:ptCount val="1"/>
                <c:pt idx="0">
                  <c:v>Black</c:v>
                </c:pt>
              </c:strCache>
            </c:strRef>
          </c:tx>
          <c:spPr>
            <a:solidFill>
              <a:srgbClr val="FFD32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Race!$B$1:$E$1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Race!$B$4:$E$4</c:f>
              <c:numCache>
                <c:formatCode>General</c:formatCode>
                <c:ptCount val="4"/>
                <c:pt idx="0">
                  <c:v>4</c:v>
                </c:pt>
                <c:pt idx="1">
                  <c:v>6</c:v>
                </c:pt>
                <c:pt idx="2">
                  <c:v>4</c:v>
                </c:pt>
                <c:pt idx="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167-4D46-8F81-999E46ED628D}"/>
            </c:ext>
          </c:extLst>
        </c:ser>
        <c:ser>
          <c:idx val="3"/>
          <c:order val="3"/>
          <c:tx>
            <c:strRef>
              <c:f>Race!$A$5</c:f>
              <c:strCache>
                <c:ptCount val="1"/>
                <c:pt idx="0">
                  <c:v>Indian</c:v>
                </c:pt>
              </c:strCache>
            </c:strRef>
          </c:tx>
          <c:spPr>
            <a:solidFill>
              <a:srgbClr val="579D1C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Race!$B$1:$E$1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Race!$B$5:$E$5</c:f>
              <c:numCache>
                <c:formatCode>General</c:formatCode>
                <c:ptCount val="4"/>
                <c:pt idx="0">
                  <c:v>2</c:v>
                </c:pt>
                <c:pt idx="1">
                  <c:v>10</c:v>
                </c:pt>
                <c:pt idx="2">
                  <c:v>2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167-4D46-8F81-999E46ED62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40093921"/>
        <c:axId val="24960815"/>
      </c:barChart>
      <c:catAx>
        <c:axId val="40093921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en-US"/>
          </a:p>
        </c:txPr>
        <c:crossAx val="24960815"/>
        <c:crosses val="autoZero"/>
        <c:auto val="1"/>
        <c:lblAlgn val="ctr"/>
        <c:lblOffset val="100"/>
        <c:noMultiLvlLbl val="0"/>
      </c:catAx>
      <c:valAx>
        <c:axId val="24960815"/>
        <c:scaling>
          <c:orientation val="minMax"/>
        </c:scaling>
        <c:delete val="0"/>
        <c:axPos val="b"/>
        <c:majorGridlines>
          <c:spPr>
            <a:ln>
              <a:solidFill>
                <a:srgbClr val="B3B3B3"/>
              </a:solidFill>
            </a:ln>
          </c:spPr>
        </c:majorGridlines>
        <c:numFmt formatCode="0%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en-US"/>
          </a:p>
        </c:txPr>
        <c:crossAx val="40093921"/>
        <c:crosses val="autoZero"/>
        <c:crossBetween val="between"/>
      </c:valAx>
      <c:spPr>
        <a:noFill/>
        <a:ln>
          <a:solidFill>
            <a:srgbClr val="B3B3B3"/>
          </a:solidFill>
        </a:ln>
      </c:spPr>
    </c:plotArea>
    <c:legend>
      <c:legendPos val="t"/>
      <c:overlay val="0"/>
      <c:spPr>
        <a:noFill/>
        <a:ln>
          <a:noFill/>
        </a:ln>
      </c:spPr>
      <c:txPr>
        <a:bodyPr/>
        <a:lstStyle/>
        <a:p>
          <a:pPr>
            <a:defRPr sz="1000" b="0" strike="noStrike" spc="-1">
              <a:latin typeface="Arial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bar"/>
        <c:grouping val="percentStacked"/>
        <c:varyColors val="0"/>
        <c:ser>
          <c:idx val="0"/>
          <c:order val="0"/>
          <c:tx>
            <c:strRef>
              <c:f>Race!$A$20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rgbClr val="004586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Race!$B$19:$E$19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Race!$B$20:$E$20</c:f>
              <c:numCache>
                <c:formatCode>General</c:formatCode>
                <c:ptCount val="4"/>
                <c:pt idx="0">
                  <c:v>0</c:v>
                </c:pt>
                <c:pt idx="1">
                  <c:v>24</c:v>
                </c:pt>
                <c:pt idx="2">
                  <c:v>51</c:v>
                </c:pt>
                <c:pt idx="3">
                  <c:v>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C4-4554-B3C0-EEF56CA0060E}"/>
            </c:ext>
          </c:extLst>
        </c:ser>
        <c:ser>
          <c:idx val="1"/>
          <c:order val="1"/>
          <c:tx>
            <c:strRef>
              <c:f>Race!$A$21</c:f>
              <c:strCache>
                <c:ptCount val="1"/>
                <c:pt idx="0">
                  <c:v>Asian</c:v>
                </c:pt>
              </c:strCache>
            </c:strRef>
          </c:tx>
          <c:spPr>
            <a:solidFill>
              <a:srgbClr val="FF420E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Race!$B$19:$E$19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Race!$B$21:$E$21</c:f>
              <c:numCache>
                <c:formatCode>General</c:formatCode>
                <c:ptCount val="4"/>
                <c:pt idx="0">
                  <c:v>0</c:v>
                </c:pt>
                <c:pt idx="1">
                  <c:v>19</c:v>
                </c:pt>
                <c:pt idx="2">
                  <c:v>33</c:v>
                </c:pt>
                <c:pt idx="3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FC4-4554-B3C0-EEF56CA0060E}"/>
            </c:ext>
          </c:extLst>
        </c:ser>
        <c:ser>
          <c:idx val="2"/>
          <c:order val="2"/>
          <c:tx>
            <c:strRef>
              <c:f>Race!$A$22</c:f>
              <c:strCache>
                <c:ptCount val="1"/>
                <c:pt idx="0">
                  <c:v>Black</c:v>
                </c:pt>
              </c:strCache>
            </c:strRef>
          </c:tx>
          <c:spPr>
            <a:solidFill>
              <a:srgbClr val="FFD32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Race!$B$19:$E$19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Race!$B$22:$E$22</c:f>
              <c:numCache>
                <c:formatCode>General</c:formatCode>
                <c:ptCount val="4"/>
                <c:pt idx="0">
                  <c:v>0</c:v>
                </c:pt>
                <c:pt idx="1">
                  <c:v>13</c:v>
                </c:pt>
                <c:pt idx="2">
                  <c:v>7</c:v>
                </c:pt>
                <c:pt idx="3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FC4-4554-B3C0-EEF56CA0060E}"/>
            </c:ext>
          </c:extLst>
        </c:ser>
        <c:ser>
          <c:idx val="3"/>
          <c:order val="3"/>
          <c:tx>
            <c:strRef>
              <c:f>Race!$A$23</c:f>
              <c:strCache>
                <c:ptCount val="1"/>
                <c:pt idx="0">
                  <c:v>Indian</c:v>
                </c:pt>
              </c:strCache>
            </c:strRef>
          </c:tx>
          <c:spPr>
            <a:solidFill>
              <a:srgbClr val="579D1C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Race!$B$19:$E$19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Race!$B$23:$E$23</c:f>
              <c:numCache>
                <c:formatCode>General</c:formatCode>
                <c:ptCount val="4"/>
                <c:pt idx="0">
                  <c:v>0</c:v>
                </c:pt>
                <c:pt idx="1">
                  <c:v>44</c:v>
                </c:pt>
                <c:pt idx="2">
                  <c:v>9</c:v>
                </c:pt>
                <c:pt idx="3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FC4-4554-B3C0-EEF56CA00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76799667"/>
        <c:axId val="76610159"/>
      </c:barChart>
      <c:catAx>
        <c:axId val="76799667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en-US"/>
          </a:p>
        </c:txPr>
        <c:crossAx val="76610159"/>
        <c:crosses val="autoZero"/>
        <c:auto val="1"/>
        <c:lblAlgn val="ctr"/>
        <c:lblOffset val="100"/>
        <c:noMultiLvlLbl val="0"/>
      </c:catAx>
      <c:valAx>
        <c:axId val="76610159"/>
        <c:scaling>
          <c:orientation val="minMax"/>
        </c:scaling>
        <c:delete val="0"/>
        <c:axPos val="b"/>
        <c:majorGridlines>
          <c:spPr>
            <a:ln>
              <a:solidFill>
                <a:srgbClr val="B3B3B3"/>
              </a:solidFill>
            </a:ln>
          </c:spPr>
        </c:majorGridlines>
        <c:numFmt formatCode="0%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en-US"/>
          </a:p>
        </c:txPr>
        <c:crossAx val="76799667"/>
        <c:crosses val="autoZero"/>
        <c:crossBetween val="between"/>
      </c:valAx>
      <c:spPr>
        <a:noFill/>
        <a:ln>
          <a:solidFill>
            <a:srgbClr val="B3B3B3"/>
          </a:solidFill>
        </a:ln>
      </c:spPr>
    </c:plotArea>
    <c:legend>
      <c:legendPos val="t"/>
      <c:overlay val="0"/>
      <c:spPr>
        <a:noFill/>
        <a:ln>
          <a:noFill/>
        </a:ln>
      </c:spPr>
      <c:txPr>
        <a:bodyPr/>
        <a:lstStyle/>
        <a:p>
          <a:pPr>
            <a:defRPr sz="1000" b="0" strike="noStrike" spc="-1">
              <a:latin typeface="Arial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bar"/>
        <c:grouping val="percentStacked"/>
        <c:varyColors val="0"/>
        <c:ser>
          <c:idx val="0"/>
          <c:order val="0"/>
          <c:tx>
            <c:strRef>
              <c:f>Race!$A$36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rgbClr val="004586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Race!$B$35:$E$35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Race!$B$36:$E$36</c:f>
              <c:numCache>
                <c:formatCode>General</c:formatCode>
                <c:ptCount val="4"/>
                <c:pt idx="0">
                  <c:v>0</c:v>
                </c:pt>
                <c:pt idx="1">
                  <c:v>22</c:v>
                </c:pt>
                <c:pt idx="2">
                  <c:v>42</c:v>
                </c:pt>
                <c:pt idx="3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A8-42E7-920A-A82DEA0AED1B}"/>
            </c:ext>
          </c:extLst>
        </c:ser>
        <c:ser>
          <c:idx val="1"/>
          <c:order val="1"/>
          <c:tx>
            <c:strRef>
              <c:f>Race!$A$37</c:f>
              <c:strCache>
                <c:ptCount val="1"/>
                <c:pt idx="0">
                  <c:v>Asian</c:v>
                </c:pt>
              </c:strCache>
            </c:strRef>
          </c:tx>
          <c:spPr>
            <a:solidFill>
              <a:srgbClr val="FF420E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Race!$B$35:$E$35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Race!$B$37:$E$37</c:f>
              <c:numCache>
                <c:formatCode>General</c:formatCode>
                <c:ptCount val="4"/>
                <c:pt idx="0">
                  <c:v>0</c:v>
                </c:pt>
                <c:pt idx="1">
                  <c:v>24</c:v>
                </c:pt>
                <c:pt idx="2">
                  <c:v>27</c:v>
                </c:pt>
                <c:pt idx="3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2A8-42E7-920A-A82DEA0AED1B}"/>
            </c:ext>
          </c:extLst>
        </c:ser>
        <c:ser>
          <c:idx val="2"/>
          <c:order val="2"/>
          <c:tx>
            <c:strRef>
              <c:f>Race!$A$38</c:f>
              <c:strCache>
                <c:ptCount val="1"/>
                <c:pt idx="0">
                  <c:v>Black</c:v>
                </c:pt>
              </c:strCache>
            </c:strRef>
          </c:tx>
          <c:spPr>
            <a:solidFill>
              <a:srgbClr val="FFD32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Race!$B$35:$E$35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Race!$B$38:$E$38</c:f>
              <c:numCache>
                <c:formatCode>General</c:formatCode>
                <c:ptCount val="4"/>
                <c:pt idx="0">
                  <c:v>0</c:v>
                </c:pt>
                <c:pt idx="1">
                  <c:v>19</c:v>
                </c:pt>
                <c:pt idx="2">
                  <c:v>16</c:v>
                </c:pt>
                <c:pt idx="3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2A8-42E7-920A-A82DEA0AED1B}"/>
            </c:ext>
          </c:extLst>
        </c:ser>
        <c:ser>
          <c:idx val="3"/>
          <c:order val="3"/>
          <c:tx>
            <c:strRef>
              <c:f>Race!$A$39</c:f>
              <c:strCache>
                <c:ptCount val="1"/>
                <c:pt idx="0">
                  <c:v>Indian</c:v>
                </c:pt>
              </c:strCache>
            </c:strRef>
          </c:tx>
          <c:spPr>
            <a:solidFill>
              <a:srgbClr val="579D1C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Race!$B$35:$E$35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Race!$B$39:$E$39</c:f>
              <c:numCache>
                <c:formatCode>General</c:formatCode>
                <c:ptCount val="4"/>
                <c:pt idx="0">
                  <c:v>0</c:v>
                </c:pt>
                <c:pt idx="1">
                  <c:v>35</c:v>
                </c:pt>
                <c:pt idx="2">
                  <c:v>15</c:v>
                </c:pt>
                <c:pt idx="3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2A8-42E7-920A-A82DEA0AED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96321127"/>
        <c:axId val="59759576"/>
      </c:barChart>
      <c:catAx>
        <c:axId val="96321127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en-US"/>
          </a:p>
        </c:txPr>
        <c:crossAx val="59759576"/>
        <c:crosses val="autoZero"/>
        <c:auto val="1"/>
        <c:lblAlgn val="ctr"/>
        <c:lblOffset val="100"/>
        <c:noMultiLvlLbl val="0"/>
      </c:catAx>
      <c:valAx>
        <c:axId val="59759576"/>
        <c:scaling>
          <c:orientation val="minMax"/>
        </c:scaling>
        <c:delete val="0"/>
        <c:axPos val="b"/>
        <c:majorGridlines>
          <c:spPr>
            <a:ln>
              <a:solidFill>
                <a:srgbClr val="B3B3B3"/>
              </a:solidFill>
            </a:ln>
          </c:spPr>
        </c:majorGridlines>
        <c:numFmt formatCode="0%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en-US"/>
          </a:p>
        </c:txPr>
        <c:crossAx val="96321127"/>
        <c:crosses val="autoZero"/>
        <c:crossBetween val="between"/>
      </c:valAx>
      <c:spPr>
        <a:noFill/>
        <a:ln>
          <a:solidFill>
            <a:srgbClr val="B3B3B3"/>
          </a:solidFill>
        </a:ln>
      </c:spPr>
    </c:plotArea>
    <c:legend>
      <c:legendPos val="t"/>
      <c:overlay val="0"/>
      <c:spPr>
        <a:noFill/>
        <a:ln>
          <a:noFill/>
        </a:ln>
      </c:spPr>
      <c:txPr>
        <a:bodyPr/>
        <a:lstStyle/>
        <a:p>
          <a:pPr>
            <a:defRPr sz="1000" b="0" strike="noStrike" spc="-1">
              <a:latin typeface="Arial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view3D>
      <c:rotX val="15"/>
      <c:rotY val="20"/>
      <c:rAngAx val="1"/>
    </c:view3D>
    <c:floor>
      <c:thickness val="0"/>
      <c:spPr>
        <a:noFill/>
        <a:ln w="6480">
          <a:noFill/>
        </a:ln>
      </c:spPr>
    </c:floor>
    <c:sideWall>
      <c:thickness val="0"/>
      <c:spPr>
        <a:noFill/>
        <a:ln w="6480">
          <a:noFill/>
        </a:ln>
      </c:spPr>
    </c:sideWall>
    <c:backWall>
      <c:thickness val="0"/>
      <c:spPr>
        <a:noFill/>
        <a:ln w="6480">
          <a:noFill/>
        </a:ln>
      </c:spPr>
    </c:backWall>
    <c:plotArea>
      <c:layout/>
      <c:bar3DChart>
        <c:barDir val="bar"/>
        <c:grouping val="percentStacked"/>
        <c:varyColors val="0"/>
        <c:ser>
          <c:idx val="0"/>
          <c:order val="0"/>
          <c:tx>
            <c:strRef>
              <c:f>Gender!$A$2</c:f>
              <c:strCache>
                <c:ptCount val="1"/>
                <c:pt idx="0">
                  <c:v>Male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1" strike="noStrike" spc="-1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Gender!$B$1:$E$1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Gender!$B$2:$E$2</c:f>
              <c:numCache>
                <c:formatCode>General</c:formatCode>
                <c:ptCount val="4"/>
                <c:pt idx="0">
                  <c:v>34</c:v>
                </c:pt>
                <c:pt idx="1">
                  <c:v>31</c:v>
                </c:pt>
                <c:pt idx="2">
                  <c:v>29</c:v>
                </c:pt>
                <c:pt idx="3">
                  <c:v>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AF-44B1-B127-6B6AFCAE0AFF}"/>
            </c:ext>
          </c:extLst>
        </c:ser>
        <c:ser>
          <c:idx val="1"/>
          <c:order val="1"/>
          <c:tx>
            <c:strRef>
              <c:f>Gender!$A$3</c:f>
              <c:strCache>
                <c:ptCount val="1"/>
                <c:pt idx="0">
                  <c:v>Female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1" strike="noStrike" spc="-1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Gender!$B$1:$E$1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Gender!$B$3:$E$3</c:f>
              <c:numCache>
                <c:formatCode>General</c:formatCode>
                <c:ptCount val="4"/>
                <c:pt idx="0">
                  <c:v>66</c:v>
                </c:pt>
                <c:pt idx="1">
                  <c:v>69</c:v>
                </c:pt>
                <c:pt idx="2">
                  <c:v>71</c:v>
                </c:pt>
                <c:pt idx="3">
                  <c:v>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CAF-44B1-B127-6B6AFCAE0A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9"/>
        <c:shape val="box"/>
        <c:axId val="61081890"/>
        <c:axId val="82680373"/>
        <c:axId val="0"/>
      </c:bar3DChart>
      <c:catAx>
        <c:axId val="6108189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800" b="0" strike="noStrike" spc="109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82680373"/>
        <c:crosses val="autoZero"/>
        <c:auto val="1"/>
        <c:lblAlgn val="ctr"/>
        <c:lblOffset val="100"/>
        <c:noMultiLvlLbl val="0"/>
      </c:catAx>
      <c:valAx>
        <c:axId val="8268037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IN" sz="9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en-IN" sz="900" b="0" strike="noStrike" spc="-1">
                    <a:solidFill>
                      <a:srgbClr val="595959"/>
                    </a:solidFill>
                    <a:latin typeface="Calibri"/>
                  </a:rPr>
                  <a:t>Percentages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0%" sourceLinked="0"/>
        <c:majorTickMark val="out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61081890"/>
        <c:crosses val="autoZero"/>
        <c:crossBetween val="between"/>
      </c:valAx>
    </c:plotArea>
    <c:legend>
      <c:legendPos val="t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view3D>
      <c:rotX val="15"/>
      <c:rotY val="20"/>
      <c:rAngAx val="1"/>
    </c:view3D>
    <c:floor>
      <c:thickness val="0"/>
      <c:spPr>
        <a:noFill/>
        <a:ln w="6480">
          <a:noFill/>
        </a:ln>
      </c:spPr>
    </c:floor>
    <c:sideWall>
      <c:thickness val="0"/>
      <c:spPr>
        <a:noFill/>
        <a:ln w="6480">
          <a:noFill/>
        </a:ln>
      </c:spPr>
    </c:sideWall>
    <c:backWall>
      <c:thickness val="0"/>
      <c:spPr>
        <a:noFill/>
        <a:ln w="6480">
          <a:noFill/>
        </a:ln>
      </c:spPr>
    </c:backWall>
    <c:plotArea>
      <c:layout/>
      <c:bar3DChart>
        <c:barDir val="bar"/>
        <c:grouping val="percentStacked"/>
        <c:varyColors val="0"/>
        <c:ser>
          <c:idx val="0"/>
          <c:order val="0"/>
          <c:tx>
            <c:strRef>
              <c:f>Gender!$A$12</c:f>
              <c:strCache>
                <c:ptCount val="1"/>
                <c:pt idx="0">
                  <c:v>Male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1" strike="noStrike" spc="-1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Gender!$B$11:$E$11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Gender!$B$12:$E$12</c:f>
              <c:numCache>
                <c:formatCode>General</c:formatCode>
                <c:ptCount val="4"/>
                <c:pt idx="0">
                  <c:v>0</c:v>
                </c:pt>
                <c:pt idx="1">
                  <c:v>44</c:v>
                </c:pt>
                <c:pt idx="2">
                  <c:v>42</c:v>
                </c:pt>
                <c:pt idx="3">
                  <c:v>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E7-4C29-9295-3F2C97563912}"/>
            </c:ext>
          </c:extLst>
        </c:ser>
        <c:ser>
          <c:idx val="1"/>
          <c:order val="1"/>
          <c:tx>
            <c:strRef>
              <c:f>Gender!$A$13</c:f>
              <c:strCache>
                <c:ptCount val="1"/>
                <c:pt idx="0">
                  <c:v>Female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1" strike="noStrike" spc="-1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Gender!$B$11:$E$11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Gender!$B$13:$E$13</c:f>
              <c:numCache>
                <c:formatCode>General</c:formatCode>
                <c:ptCount val="4"/>
                <c:pt idx="0">
                  <c:v>0</c:v>
                </c:pt>
                <c:pt idx="1">
                  <c:v>56</c:v>
                </c:pt>
                <c:pt idx="2">
                  <c:v>58</c:v>
                </c:pt>
                <c:pt idx="3">
                  <c:v>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E7-4C29-9295-3F2C975639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9"/>
        <c:shape val="box"/>
        <c:axId val="31633579"/>
        <c:axId val="56000976"/>
        <c:axId val="0"/>
      </c:bar3DChart>
      <c:catAx>
        <c:axId val="3163357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800" b="0" strike="noStrike" spc="109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6000976"/>
        <c:crosses val="autoZero"/>
        <c:auto val="1"/>
        <c:lblAlgn val="ctr"/>
        <c:lblOffset val="100"/>
        <c:noMultiLvlLbl val="0"/>
      </c:catAx>
      <c:valAx>
        <c:axId val="5600097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IN" sz="8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en-IN" sz="800" b="0" strike="noStrike" spc="-1">
                    <a:solidFill>
                      <a:srgbClr val="595959"/>
                    </a:solidFill>
                    <a:latin typeface="Calibri"/>
                  </a:rPr>
                  <a:t>Percentages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0%" sourceLinked="0"/>
        <c:majorTickMark val="out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1633579"/>
        <c:crosses val="autoZero"/>
        <c:crossBetween val="between"/>
      </c:valAx>
    </c:plotArea>
    <c:legend>
      <c:legendPos val="t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view3D>
      <c:rotX val="15"/>
      <c:rotY val="20"/>
      <c:rAngAx val="1"/>
    </c:view3D>
    <c:floor>
      <c:thickness val="0"/>
      <c:spPr>
        <a:noFill/>
        <a:ln w="6480">
          <a:noFill/>
        </a:ln>
      </c:spPr>
    </c:floor>
    <c:sideWall>
      <c:thickness val="0"/>
      <c:spPr>
        <a:noFill/>
        <a:ln w="6480">
          <a:noFill/>
        </a:ln>
      </c:spPr>
    </c:sideWall>
    <c:backWall>
      <c:thickness val="0"/>
      <c:spPr>
        <a:noFill/>
        <a:ln w="6480">
          <a:noFill/>
        </a:ln>
      </c:spPr>
    </c:backWall>
    <c:plotArea>
      <c:layout/>
      <c:bar3DChart>
        <c:barDir val="bar"/>
        <c:grouping val="percentStacked"/>
        <c:varyColors val="0"/>
        <c:ser>
          <c:idx val="0"/>
          <c:order val="0"/>
          <c:tx>
            <c:strRef>
              <c:f>Gender!$A$21</c:f>
              <c:strCache>
                <c:ptCount val="1"/>
                <c:pt idx="0">
                  <c:v>Male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1" strike="noStrike" spc="-1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Gender!$B$20:$E$20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Gender!$B$21:$E$21</c:f>
              <c:numCache>
                <c:formatCode>General</c:formatCode>
                <c:ptCount val="4"/>
                <c:pt idx="0">
                  <c:v>0</c:v>
                </c:pt>
                <c:pt idx="1">
                  <c:v>43</c:v>
                </c:pt>
                <c:pt idx="2">
                  <c:v>44</c:v>
                </c:pt>
                <c:pt idx="3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DC-40FF-8E59-4BB531D55977}"/>
            </c:ext>
          </c:extLst>
        </c:ser>
        <c:ser>
          <c:idx val="1"/>
          <c:order val="1"/>
          <c:tx>
            <c:strRef>
              <c:f>Gender!$A$22</c:f>
              <c:strCache>
                <c:ptCount val="1"/>
                <c:pt idx="0">
                  <c:v>Female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1" strike="noStrike" spc="-1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Gender!$B$20:$E$20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Gender!$B$22:$E$22</c:f>
              <c:numCache>
                <c:formatCode>General</c:formatCode>
                <c:ptCount val="4"/>
                <c:pt idx="0">
                  <c:v>0</c:v>
                </c:pt>
                <c:pt idx="1">
                  <c:v>57</c:v>
                </c:pt>
                <c:pt idx="2">
                  <c:v>56</c:v>
                </c:pt>
                <c:pt idx="3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8DC-40FF-8E59-4BB531D559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9"/>
        <c:shape val="box"/>
        <c:axId val="37098457"/>
        <c:axId val="59074132"/>
        <c:axId val="0"/>
      </c:bar3DChart>
      <c:catAx>
        <c:axId val="3709845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800" b="0" strike="noStrike" spc="109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9074132"/>
        <c:crosses val="autoZero"/>
        <c:auto val="1"/>
        <c:lblAlgn val="ctr"/>
        <c:lblOffset val="100"/>
        <c:noMultiLvlLbl val="0"/>
      </c:catAx>
      <c:valAx>
        <c:axId val="5907413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IN" sz="8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en-IN" sz="800" b="0" strike="noStrike" spc="-1">
                    <a:solidFill>
                      <a:srgbClr val="595959"/>
                    </a:solidFill>
                    <a:latin typeface="Calibri"/>
                  </a:rPr>
                  <a:t>Percentages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0%" sourceLinked="0"/>
        <c:majorTickMark val="out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7098457"/>
        <c:crosses val="autoZero"/>
        <c:crossBetween val="between"/>
      </c:valAx>
    </c:plotArea>
    <c:legend>
      <c:legendPos val="t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bar"/>
        <c:grouping val="percentStacked"/>
        <c:varyColors val="0"/>
        <c:ser>
          <c:idx val="0"/>
          <c:order val="0"/>
          <c:tx>
            <c:strRef>
              <c:f>Gender!$A$2</c:f>
              <c:strCache>
                <c:ptCount val="1"/>
                <c:pt idx="0">
                  <c:v>Male</c:v>
                </c:pt>
              </c:strCache>
            </c:strRef>
          </c:tx>
          <c:spPr>
            <a:solidFill>
              <a:srgbClr val="004586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Gender!$B$1:$E$1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Gender!$B$2:$E$2</c:f>
              <c:numCache>
                <c:formatCode>General</c:formatCode>
                <c:ptCount val="4"/>
                <c:pt idx="0">
                  <c:v>34</c:v>
                </c:pt>
                <c:pt idx="1">
                  <c:v>31</c:v>
                </c:pt>
                <c:pt idx="2">
                  <c:v>29</c:v>
                </c:pt>
                <c:pt idx="3">
                  <c:v>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DD-4FCD-8DC0-6428C975A303}"/>
            </c:ext>
          </c:extLst>
        </c:ser>
        <c:ser>
          <c:idx val="1"/>
          <c:order val="1"/>
          <c:tx>
            <c:strRef>
              <c:f>Gender!$A$3</c:f>
              <c:strCache>
                <c:ptCount val="1"/>
                <c:pt idx="0">
                  <c:v>Female</c:v>
                </c:pt>
              </c:strCache>
            </c:strRef>
          </c:tx>
          <c:spPr>
            <a:solidFill>
              <a:srgbClr val="FF420E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Gender!$B$1:$E$1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Gender!$B$3:$E$3</c:f>
              <c:numCache>
                <c:formatCode>General</c:formatCode>
                <c:ptCount val="4"/>
                <c:pt idx="0">
                  <c:v>66</c:v>
                </c:pt>
                <c:pt idx="1">
                  <c:v>69</c:v>
                </c:pt>
                <c:pt idx="2">
                  <c:v>71</c:v>
                </c:pt>
                <c:pt idx="3">
                  <c:v>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5DD-4FCD-8DC0-6428C975A3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72347820"/>
        <c:axId val="21366310"/>
      </c:barChart>
      <c:catAx>
        <c:axId val="72347820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en-US"/>
          </a:p>
        </c:txPr>
        <c:crossAx val="21366310"/>
        <c:crosses val="autoZero"/>
        <c:auto val="1"/>
        <c:lblAlgn val="ctr"/>
        <c:lblOffset val="100"/>
        <c:noMultiLvlLbl val="0"/>
      </c:catAx>
      <c:valAx>
        <c:axId val="21366310"/>
        <c:scaling>
          <c:orientation val="minMax"/>
        </c:scaling>
        <c:delete val="0"/>
        <c:axPos val="b"/>
        <c:majorGridlines>
          <c:spPr>
            <a:ln>
              <a:solidFill>
                <a:srgbClr val="B3B3B3"/>
              </a:solidFill>
            </a:ln>
          </c:spPr>
        </c:majorGridlines>
        <c:numFmt formatCode="0%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en-US"/>
          </a:p>
        </c:txPr>
        <c:crossAx val="72347820"/>
        <c:crosses val="autoZero"/>
        <c:crossBetween val="between"/>
      </c:valAx>
      <c:spPr>
        <a:noFill/>
        <a:ln>
          <a:solidFill>
            <a:srgbClr val="B3B3B3"/>
          </a:solidFill>
        </a:ln>
      </c:spPr>
    </c:plotArea>
    <c:legend>
      <c:legendPos val="t"/>
      <c:overlay val="0"/>
      <c:spPr>
        <a:noFill/>
        <a:ln>
          <a:noFill/>
        </a:ln>
      </c:spPr>
      <c:txPr>
        <a:bodyPr/>
        <a:lstStyle/>
        <a:p>
          <a:pPr>
            <a:defRPr sz="1000" b="0" strike="noStrike" spc="-1">
              <a:latin typeface="Arial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bar"/>
        <c:grouping val="percentStacked"/>
        <c:varyColors val="0"/>
        <c:ser>
          <c:idx val="0"/>
          <c:order val="0"/>
          <c:tx>
            <c:strRef>
              <c:f>Gender!$A$12</c:f>
              <c:strCache>
                <c:ptCount val="1"/>
                <c:pt idx="0">
                  <c:v>Male</c:v>
                </c:pt>
              </c:strCache>
            </c:strRef>
          </c:tx>
          <c:spPr>
            <a:solidFill>
              <a:srgbClr val="004586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Gender!$B$11:$E$11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Gender!$B$12:$E$12</c:f>
              <c:numCache>
                <c:formatCode>General</c:formatCode>
                <c:ptCount val="4"/>
                <c:pt idx="0">
                  <c:v>0</c:v>
                </c:pt>
                <c:pt idx="1">
                  <c:v>44</c:v>
                </c:pt>
                <c:pt idx="2">
                  <c:v>42</c:v>
                </c:pt>
                <c:pt idx="3">
                  <c:v>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84-47B0-8732-D56C29B4D561}"/>
            </c:ext>
          </c:extLst>
        </c:ser>
        <c:ser>
          <c:idx val="1"/>
          <c:order val="1"/>
          <c:tx>
            <c:strRef>
              <c:f>Gender!$A$13</c:f>
              <c:strCache>
                <c:ptCount val="1"/>
                <c:pt idx="0">
                  <c:v>Female</c:v>
                </c:pt>
              </c:strCache>
            </c:strRef>
          </c:tx>
          <c:spPr>
            <a:solidFill>
              <a:srgbClr val="FF420E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Gender!$B$11:$E$11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Gender!$B$13:$E$13</c:f>
              <c:numCache>
                <c:formatCode>General</c:formatCode>
                <c:ptCount val="4"/>
                <c:pt idx="0">
                  <c:v>0</c:v>
                </c:pt>
                <c:pt idx="1">
                  <c:v>56</c:v>
                </c:pt>
                <c:pt idx="2">
                  <c:v>58</c:v>
                </c:pt>
                <c:pt idx="3">
                  <c:v>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484-47B0-8732-D56C29B4D5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99829792"/>
        <c:axId val="75764122"/>
      </c:barChart>
      <c:catAx>
        <c:axId val="9982979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en-US"/>
          </a:p>
        </c:txPr>
        <c:crossAx val="75764122"/>
        <c:crosses val="autoZero"/>
        <c:auto val="1"/>
        <c:lblAlgn val="ctr"/>
        <c:lblOffset val="100"/>
        <c:noMultiLvlLbl val="0"/>
      </c:catAx>
      <c:valAx>
        <c:axId val="75764122"/>
        <c:scaling>
          <c:orientation val="minMax"/>
        </c:scaling>
        <c:delete val="0"/>
        <c:axPos val="b"/>
        <c:majorGridlines>
          <c:spPr>
            <a:ln>
              <a:solidFill>
                <a:srgbClr val="B3B3B3"/>
              </a:solidFill>
            </a:ln>
          </c:spPr>
        </c:majorGridlines>
        <c:numFmt formatCode="0%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en-US"/>
          </a:p>
        </c:txPr>
        <c:crossAx val="99829792"/>
        <c:crosses val="autoZero"/>
        <c:crossBetween val="between"/>
      </c:valAx>
      <c:spPr>
        <a:noFill/>
        <a:ln>
          <a:solidFill>
            <a:srgbClr val="B3B3B3"/>
          </a:solidFill>
        </a:ln>
      </c:spPr>
    </c:plotArea>
    <c:legend>
      <c:legendPos val="t"/>
      <c:overlay val="0"/>
      <c:spPr>
        <a:noFill/>
        <a:ln>
          <a:noFill/>
        </a:ln>
      </c:spPr>
      <c:txPr>
        <a:bodyPr/>
        <a:lstStyle/>
        <a:p>
          <a:pPr>
            <a:defRPr sz="1000" b="0" strike="noStrike" spc="-1">
              <a:latin typeface="Arial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bar"/>
        <c:grouping val="percentStacked"/>
        <c:varyColors val="0"/>
        <c:ser>
          <c:idx val="0"/>
          <c:order val="0"/>
          <c:tx>
            <c:strRef>
              <c:f>Gender!$A$21</c:f>
              <c:strCache>
                <c:ptCount val="1"/>
                <c:pt idx="0">
                  <c:v>Male</c:v>
                </c:pt>
              </c:strCache>
            </c:strRef>
          </c:tx>
          <c:spPr>
            <a:solidFill>
              <a:srgbClr val="004586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Gender!$B$20:$E$20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Gender!$B$21:$E$21</c:f>
              <c:numCache>
                <c:formatCode>General</c:formatCode>
                <c:ptCount val="4"/>
                <c:pt idx="0">
                  <c:v>0</c:v>
                </c:pt>
                <c:pt idx="1">
                  <c:v>43</c:v>
                </c:pt>
                <c:pt idx="2">
                  <c:v>44</c:v>
                </c:pt>
                <c:pt idx="3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C5-4E1F-97FB-603AD054ADF5}"/>
            </c:ext>
          </c:extLst>
        </c:ser>
        <c:ser>
          <c:idx val="1"/>
          <c:order val="1"/>
          <c:tx>
            <c:strRef>
              <c:f>Gender!$A$22</c:f>
              <c:strCache>
                <c:ptCount val="1"/>
                <c:pt idx="0">
                  <c:v>Female</c:v>
                </c:pt>
              </c:strCache>
            </c:strRef>
          </c:tx>
          <c:spPr>
            <a:solidFill>
              <a:srgbClr val="FF420E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Gender!$B$20:$E$20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Gender!$B$22:$E$22</c:f>
              <c:numCache>
                <c:formatCode>General</c:formatCode>
                <c:ptCount val="4"/>
                <c:pt idx="0">
                  <c:v>0</c:v>
                </c:pt>
                <c:pt idx="1">
                  <c:v>57</c:v>
                </c:pt>
                <c:pt idx="2">
                  <c:v>56</c:v>
                </c:pt>
                <c:pt idx="3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CC5-4E1F-97FB-603AD054AD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51417612"/>
        <c:axId val="10302083"/>
      </c:barChart>
      <c:catAx>
        <c:axId val="5141761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en-US"/>
          </a:p>
        </c:txPr>
        <c:crossAx val="10302083"/>
        <c:crosses val="autoZero"/>
        <c:auto val="1"/>
        <c:lblAlgn val="ctr"/>
        <c:lblOffset val="100"/>
        <c:noMultiLvlLbl val="0"/>
      </c:catAx>
      <c:valAx>
        <c:axId val="10302083"/>
        <c:scaling>
          <c:orientation val="minMax"/>
        </c:scaling>
        <c:delete val="0"/>
        <c:axPos val="b"/>
        <c:majorGridlines>
          <c:spPr>
            <a:ln>
              <a:solidFill>
                <a:srgbClr val="B3B3B3"/>
              </a:solidFill>
            </a:ln>
          </c:spPr>
        </c:majorGridlines>
        <c:numFmt formatCode="0%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en-US"/>
          </a:p>
        </c:txPr>
        <c:crossAx val="51417612"/>
        <c:crosses val="autoZero"/>
        <c:crossBetween val="between"/>
      </c:valAx>
      <c:spPr>
        <a:noFill/>
        <a:ln>
          <a:solidFill>
            <a:srgbClr val="B3B3B3"/>
          </a:solidFill>
        </a:ln>
      </c:spPr>
    </c:plotArea>
    <c:legend>
      <c:legendPos val="t"/>
      <c:overlay val="0"/>
      <c:spPr>
        <a:noFill/>
        <a:ln>
          <a:noFill/>
        </a:ln>
      </c:spPr>
      <c:txPr>
        <a:bodyPr/>
        <a:lstStyle/>
        <a:p>
          <a:pPr>
            <a:defRPr sz="1000" b="0" strike="noStrike" spc="-1">
              <a:latin typeface="Arial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Gender!$B$28</c:f>
              <c:strCache>
                <c:ptCount val="1"/>
                <c:pt idx="0">
                  <c:v>Dataset</c:v>
                </c:pt>
              </c:strCache>
            </c:strRef>
          </c:tx>
          <c:spPr>
            <a:solidFill>
              <a:srgbClr val="004586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Gender!$A$29:$A$31</c:f>
              <c:strCache>
                <c:ptCount val="3"/>
                <c:pt idx="0">
                  <c:v>CelebA-HQ</c:v>
                </c:pt>
                <c:pt idx="1">
                  <c:v>FairFace</c:v>
                </c:pt>
                <c:pt idx="2">
                  <c:v>Bal-FairFace</c:v>
                </c:pt>
              </c:strCache>
            </c:strRef>
          </c:cat>
          <c:val>
            <c:numRef>
              <c:f>Gender!$B$29:$B$31</c:f>
              <c:numCache>
                <c:formatCode>General</c:formatCode>
                <c:ptCount val="3"/>
                <c:pt idx="0">
                  <c:v>0.14000000000000001</c:v>
                </c:pt>
                <c:pt idx="1">
                  <c:v>0.04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7D-4F0C-9DCD-32CA1885B2DE}"/>
            </c:ext>
          </c:extLst>
        </c:ser>
        <c:ser>
          <c:idx val="1"/>
          <c:order val="1"/>
          <c:tx>
            <c:strRef>
              <c:f>Gender!$C$28</c:f>
              <c:strCache>
                <c:ptCount val="1"/>
                <c:pt idx="0">
                  <c:v>DDPM</c:v>
                </c:pt>
              </c:strCache>
            </c:strRef>
          </c:tx>
          <c:spPr>
            <a:solidFill>
              <a:srgbClr val="FF420E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Gender!$A$29:$A$31</c:f>
              <c:strCache>
                <c:ptCount val="3"/>
                <c:pt idx="0">
                  <c:v>CelebA-HQ</c:v>
                </c:pt>
                <c:pt idx="1">
                  <c:v>FairFace</c:v>
                </c:pt>
                <c:pt idx="2">
                  <c:v>Bal-FairFace</c:v>
                </c:pt>
              </c:strCache>
            </c:strRef>
          </c:cat>
          <c:val>
            <c:numRef>
              <c:f>Gender!$C$29:$C$31</c:f>
              <c:numCache>
                <c:formatCode>General</c:formatCode>
                <c:ptCount val="3"/>
                <c:pt idx="0">
                  <c:v>0.21</c:v>
                </c:pt>
                <c:pt idx="1">
                  <c:v>0.08</c:v>
                </c:pt>
                <c:pt idx="2">
                  <c:v>0.06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7D-4F0C-9DCD-32CA1885B2DE}"/>
            </c:ext>
          </c:extLst>
        </c:ser>
        <c:ser>
          <c:idx val="2"/>
          <c:order val="2"/>
          <c:tx>
            <c:strRef>
              <c:f>Gender!$D$28</c:f>
              <c:strCache>
                <c:ptCount val="1"/>
                <c:pt idx="0">
                  <c:v>DDGAN</c:v>
                </c:pt>
              </c:strCache>
            </c:strRef>
          </c:tx>
          <c:spPr>
            <a:solidFill>
              <a:srgbClr val="FFD32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Gender!$A$29:$A$31</c:f>
              <c:strCache>
                <c:ptCount val="3"/>
                <c:pt idx="0">
                  <c:v>CelebA-HQ</c:v>
                </c:pt>
                <c:pt idx="1">
                  <c:v>FairFace</c:v>
                </c:pt>
                <c:pt idx="2">
                  <c:v>Bal-FairFace</c:v>
                </c:pt>
              </c:strCache>
            </c:strRef>
          </c:cat>
          <c:val>
            <c:numRef>
              <c:f>Gender!$D$29:$D$31</c:f>
              <c:numCache>
                <c:formatCode>General</c:formatCode>
                <c:ptCount val="3"/>
                <c:pt idx="0">
                  <c:v>0.19</c:v>
                </c:pt>
                <c:pt idx="1">
                  <c:v>0.06</c:v>
                </c:pt>
                <c:pt idx="2">
                  <c:v>7.0000000000000007E-2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D7D-4F0C-9DCD-32CA1885B2DE}"/>
            </c:ext>
          </c:extLst>
        </c:ser>
        <c:ser>
          <c:idx val="3"/>
          <c:order val="3"/>
          <c:tx>
            <c:strRef>
              <c:f>Gender!$E$28</c:f>
              <c:strCache>
                <c:ptCount val="1"/>
                <c:pt idx="0">
                  <c:v>LDM</c:v>
                </c:pt>
              </c:strCache>
            </c:strRef>
          </c:tx>
          <c:spPr>
            <a:solidFill>
              <a:srgbClr val="579D1C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Gender!$A$29:$A$31</c:f>
              <c:strCache>
                <c:ptCount val="3"/>
                <c:pt idx="0">
                  <c:v>CelebA-HQ</c:v>
                </c:pt>
                <c:pt idx="1">
                  <c:v>FairFace</c:v>
                </c:pt>
                <c:pt idx="2">
                  <c:v>Bal-FairFace</c:v>
                </c:pt>
              </c:strCache>
            </c:strRef>
          </c:cat>
          <c:val>
            <c:numRef>
              <c:f>Gender!$E$29:$E$31</c:f>
              <c:numCache>
                <c:formatCode>General</c:formatCode>
                <c:ptCount val="3"/>
                <c:pt idx="0">
                  <c:v>0.16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D7D-4F0C-9DCD-32CA1885B2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99232556"/>
        <c:axId val="74309607"/>
      </c:barChart>
      <c:catAx>
        <c:axId val="992325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en-US"/>
          </a:p>
        </c:txPr>
        <c:crossAx val="74309607"/>
        <c:crosses val="autoZero"/>
        <c:auto val="1"/>
        <c:lblAlgn val="ctr"/>
        <c:lblOffset val="100"/>
        <c:noMultiLvlLbl val="0"/>
      </c:catAx>
      <c:valAx>
        <c:axId val="74309607"/>
        <c:scaling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en-US"/>
          </a:p>
        </c:txPr>
        <c:crossAx val="99232556"/>
        <c:crosses val="autoZero"/>
        <c:crossBetween val="between"/>
      </c:valAx>
      <c:spPr>
        <a:noFill/>
        <a:ln>
          <a:solidFill>
            <a:srgbClr val="B3B3B3"/>
          </a:solidFill>
        </a:ln>
      </c:spPr>
    </c:plotArea>
    <c:legend>
      <c:legendPos val="r"/>
      <c:overlay val="0"/>
      <c:spPr>
        <a:noFill/>
        <a:ln>
          <a:noFill/>
        </a:ln>
      </c:spPr>
      <c:txPr>
        <a:bodyPr/>
        <a:lstStyle/>
        <a:p>
          <a:pPr>
            <a:defRPr sz="1000" b="0" strike="noStrike" spc="-1">
              <a:latin typeface="Arial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view3D>
      <c:rotX val="15"/>
      <c:rotY val="20"/>
      <c:rAngAx val="1"/>
    </c:view3D>
    <c:floor>
      <c:thickness val="0"/>
      <c:spPr>
        <a:noFill/>
        <a:ln w="6480">
          <a:noFill/>
        </a:ln>
      </c:spPr>
    </c:floor>
    <c:sideWall>
      <c:thickness val="0"/>
      <c:spPr>
        <a:noFill/>
        <a:ln w="6480">
          <a:noFill/>
        </a:ln>
      </c:spPr>
    </c:sideWall>
    <c:backWall>
      <c:thickness val="0"/>
      <c:spPr>
        <a:noFill/>
        <a:ln w="6480">
          <a:noFill/>
        </a:ln>
      </c:spPr>
    </c:backWall>
    <c:plotArea>
      <c:layout/>
      <c:bar3DChart>
        <c:barDir val="bar"/>
        <c:grouping val="percentStacked"/>
        <c:varyColors val="0"/>
        <c:ser>
          <c:idx val="0"/>
          <c:order val="0"/>
          <c:tx>
            <c:strRef>
              <c:f>Age!$A$2</c:f>
              <c:strCache>
                <c:ptCount val="1"/>
                <c:pt idx="0">
                  <c:v>10 – 19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1" strike="noStrike" spc="-1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Age!$B$1:$E$1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Age!$B$2:$E$2</c:f>
              <c:numCache>
                <c:formatCode>General</c:formatCode>
                <c:ptCount val="4"/>
                <c:pt idx="0">
                  <c:v>3</c:v>
                </c:pt>
                <c:pt idx="1">
                  <c:v>1</c:v>
                </c:pt>
                <c:pt idx="2">
                  <c:v>3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C1-4DED-A4C4-C2338466CF15}"/>
            </c:ext>
          </c:extLst>
        </c:ser>
        <c:ser>
          <c:idx val="1"/>
          <c:order val="1"/>
          <c:tx>
            <c:strRef>
              <c:f>Age!$A$3</c:f>
              <c:strCache>
                <c:ptCount val="1"/>
                <c:pt idx="0">
                  <c:v>20 – 29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1" strike="noStrike" spc="-1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Age!$B$1:$E$1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Age!$B$3:$E$3</c:f>
              <c:numCache>
                <c:formatCode>General</c:formatCode>
                <c:ptCount val="4"/>
                <c:pt idx="0">
                  <c:v>67</c:v>
                </c:pt>
                <c:pt idx="1">
                  <c:v>60</c:v>
                </c:pt>
                <c:pt idx="2">
                  <c:v>80</c:v>
                </c:pt>
                <c:pt idx="3">
                  <c:v>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FC1-4DED-A4C4-C2338466CF15}"/>
            </c:ext>
          </c:extLst>
        </c:ser>
        <c:ser>
          <c:idx val="2"/>
          <c:order val="2"/>
          <c:tx>
            <c:strRef>
              <c:f>Age!$A$4</c:f>
              <c:strCache>
                <c:ptCount val="1"/>
                <c:pt idx="0">
                  <c:v>30 – 39</c:v>
                </c:pt>
              </c:strCache>
            </c:strRef>
          </c:tx>
          <c:spPr>
            <a:solidFill>
              <a:srgbClr val="A5A5A5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1" strike="noStrike" spc="-1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Age!$B$1:$E$1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Age!$B$4:$E$4</c:f>
              <c:numCache>
                <c:formatCode>General</c:formatCode>
                <c:ptCount val="4"/>
                <c:pt idx="0">
                  <c:v>16</c:v>
                </c:pt>
                <c:pt idx="1">
                  <c:v>28</c:v>
                </c:pt>
                <c:pt idx="2">
                  <c:v>14</c:v>
                </c:pt>
                <c:pt idx="3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FC1-4DED-A4C4-C2338466CF15}"/>
            </c:ext>
          </c:extLst>
        </c:ser>
        <c:ser>
          <c:idx val="3"/>
          <c:order val="3"/>
          <c:tx>
            <c:strRef>
              <c:f>Age!$A$5</c:f>
              <c:strCache>
                <c:ptCount val="1"/>
                <c:pt idx="0">
                  <c:v>40 – 49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1" strike="noStrike" spc="-1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Age!$B$1:$E$1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Age!$B$5:$E$5</c:f>
              <c:numCache>
                <c:formatCode>General</c:formatCode>
                <c:ptCount val="4"/>
                <c:pt idx="0">
                  <c:v>7</c:v>
                </c:pt>
                <c:pt idx="1">
                  <c:v>6</c:v>
                </c:pt>
                <c:pt idx="2">
                  <c:v>2</c:v>
                </c:pt>
                <c:pt idx="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FC1-4DED-A4C4-C2338466CF15}"/>
            </c:ext>
          </c:extLst>
        </c:ser>
        <c:ser>
          <c:idx val="4"/>
          <c:order val="4"/>
          <c:tx>
            <c:strRef>
              <c:f>Age!$A$6</c:f>
              <c:strCache>
                <c:ptCount val="1"/>
                <c:pt idx="0">
                  <c:v>50 – 59</c:v>
                </c:pt>
              </c:strCache>
            </c:strRef>
          </c:tx>
          <c:spPr>
            <a:solidFill>
              <a:srgbClr val="5B9BD5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1" strike="noStrike" spc="-1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Age!$B$1:$E$1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Age!$B$6:$E$6</c:f>
              <c:numCache>
                <c:formatCode>General</c:formatCode>
                <c:ptCount val="4"/>
                <c:pt idx="0">
                  <c:v>5</c:v>
                </c:pt>
                <c:pt idx="1">
                  <c:v>4</c:v>
                </c:pt>
                <c:pt idx="2">
                  <c:v>1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FC1-4DED-A4C4-C2338466CF15}"/>
            </c:ext>
          </c:extLst>
        </c:ser>
        <c:ser>
          <c:idx val="5"/>
          <c:order val="5"/>
          <c:tx>
            <c:strRef>
              <c:f>Age!$A$7</c:f>
              <c:strCache>
                <c:ptCount val="1"/>
                <c:pt idx="0">
                  <c:v>60 – 69</c:v>
                </c:pt>
              </c:strCache>
            </c:strRef>
          </c:tx>
          <c:spPr>
            <a:solidFill>
              <a:srgbClr val="70AD47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1" strike="noStrike" spc="-1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Age!$B$1:$E$1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Age!$B$7:$E$7</c:f>
              <c:numCache>
                <c:formatCode>General</c:formatCode>
                <c:ptCount val="4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FC1-4DED-A4C4-C2338466CF15}"/>
            </c:ext>
          </c:extLst>
        </c:ser>
        <c:ser>
          <c:idx val="6"/>
          <c:order val="6"/>
          <c:tx>
            <c:strRef>
              <c:f>Age!$A$8</c:f>
              <c:strCache>
                <c:ptCount val="1"/>
                <c:pt idx="0">
                  <c:v>70++</c:v>
                </c:pt>
              </c:strCache>
            </c:strRef>
          </c:tx>
          <c:spPr>
            <a:solidFill>
              <a:srgbClr val="264478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1" strike="noStrike" spc="-1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Age!$B$1:$E$1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Age!$B$8:$E$8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FC1-4DED-A4C4-C2338466CF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9"/>
        <c:shape val="box"/>
        <c:axId val="14276545"/>
        <c:axId val="51145077"/>
        <c:axId val="0"/>
      </c:bar3DChart>
      <c:catAx>
        <c:axId val="1427654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800" b="0" strike="noStrike" spc="109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1145077"/>
        <c:crosses val="autoZero"/>
        <c:auto val="1"/>
        <c:lblAlgn val="ctr"/>
        <c:lblOffset val="100"/>
        <c:noMultiLvlLbl val="0"/>
      </c:catAx>
      <c:valAx>
        <c:axId val="5114507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IN" sz="9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en-IN" sz="900" b="0" strike="noStrike" spc="-1">
                    <a:solidFill>
                      <a:srgbClr val="595959"/>
                    </a:solidFill>
                    <a:latin typeface="Calibri"/>
                  </a:rPr>
                  <a:t>PERCENTAGES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0%" sourceLinked="0"/>
        <c:majorTickMark val="out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4276545"/>
        <c:crosses val="autoZero"/>
        <c:crossBetween val="between"/>
      </c:valAx>
    </c:plotArea>
    <c:legend>
      <c:legendPos val="t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view3D>
      <c:rotX val="15"/>
      <c:rotY val="20"/>
      <c:rAngAx val="1"/>
    </c:view3D>
    <c:floor>
      <c:thickness val="0"/>
      <c:spPr>
        <a:noFill/>
        <a:ln w="6480">
          <a:noFill/>
        </a:ln>
      </c:spPr>
    </c:floor>
    <c:sideWall>
      <c:thickness val="0"/>
      <c:spPr>
        <a:noFill/>
        <a:ln w="6480">
          <a:noFill/>
        </a:ln>
      </c:spPr>
    </c:sideWall>
    <c:backWall>
      <c:thickness val="0"/>
      <c:spPr>
        <a:noFill/>
        <a:ln w="6480">
          <a:noFill/>
        </a:ln>
      </c:spPr>
    </c:backWall>
    <c:plotArea>
      <c:layout/>
      <c:bar3DChart>
        <c:barDir val="bar"/>
        <c:grouping val="percentStacked"/>
        <c:varyColors val="0"/>
        <c:ser>
          <c:idx val="0"/>
          <c:order val="0"/>
          <c:tx>
            <c:strRef>
              <c:f>Age!$A$28</c:f>
              <c:strCache>
                <c:ptCount val="1"/>
                <c:pt idx="0">
                  <c:v>0 – 2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1" strike="noStrike" spc="-1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Age!$B$27:$E$27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Age!$B$28:$E$28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DC-4A17-A50D-DC982CFAAD15}"/>
            </c:ext>
          </c:extLst>
        </c:ser>
        <c:ser>
          <c:idx val="1"/>
          <c:order val="1"/>
          <c:tx>
            <c:strRef>
              <c:f>Age!$A$29</c:f>
              <c:strCache>
                <c:ptCount val="1"/>
                <c:pt idx="0">
                  <c:v>3 – 9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1" strike="noStrike" spc="-1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Age!$B$27:$E$27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Age!$B$29:$E$29</c:f>
              <c:numCache>
                <c:formatCode>General</c:formatCode>
                <c:ptCount val="4"/>
                <c:pt idx="0">
                  <c:v>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9DC-4A17-A50D-DC982CFAAD15}"/>
            </c:ext>
          </c:extLst>
        </c:ser>
        <c:ser>
          <c:idx val="2"/>
          <c:order val="2"/>
          <c:tx>
            <c:strRef>
              <c:f>Age!$A$30</c:f>
              <c:strCache>
                <c:ptCount val="1"/>
                <c:pt idx="0">
                  <c:v>10 – 19</c:v>
                </c:pt>
              </c:strCache>
            </c:strRef>
          </c:tx>
          <c:spPr>
            <a:solidFill>
              <a:srgbClr val="A5A5A5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1" strike="noStrike" spc="-1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Age!$B$27:$E$27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Age!$B$30:$E$30</c:f>
              <c:numCache>
                <c:formatCode>General</c:formatCode>
                <c:ptCount val="4"/>
                <c:pt idx="0">
                  <c:v>0</c:v>
                </c:pt>
                <c:pt idx="1">
                  <c:v>8</c:v>
                </c:pt>
                <c:pt idx="2">
                  <c:v>19</c:v>
                </c:pt>
                <c:pt idx="3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9DC-4A17-A50D-DC982CFAAD15}"/>
            </c:ext>
          </c:extLst>
        </c:ser>
        <c:ser>
          <c:idx val="3"/>
          <c:order val="3"/>
          <c:tx>
            <c:strRef>
              <c:f>Age!$A$31</c:f>
              <c:strCache>
                <c:ptCount val="1"/>
                <c:pt idx="0">
                  <c:v>20 – 29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1" strike="noStrike" spc="-1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Age!$B$27:$E$27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Age!$B$31:$E$31</c:f>
              <c:numCache>
                <c:formatCode>General</c:formatCode>
                <c:ptCount val="4"/>
                <c:pt idx="0">
                  <c:v>0</c:v>
                </c:pt>
                <c:pt idx="1">
                  <c:v>49</c:v>
                </c:pt>
                <c:pt idx="2">
                  <c:v>45</c:v>
                </c:pt>
                <c:pt idx="3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9DC-4A17-A50D-DC982CFAAD15}"/>
            </c:ext>
          </c:extLst>
        </c:ser>
        <c:ser>
          <c:idx val="4"/>
          <c:order val="4"/>
          <c:tx>
            <c:strRef>
              <c:f>Age!$A$32</c:f>
              <c:strCache>
                <c:ptCount val="1"/>
                <c:pt idx="0">
                  <c:v>30 – 39</c:v>
                </c:pt>
              </c:strCache>
            </c:strRef>
          </c:tx>
          <c:spPr>
            <a:solidFill>
              <a:srgbClr val="5B9BD5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1" strike="noStrike" spc="-1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Age!$B$27:$E$27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Age!$B$32:$E$32</c:f>
              <c:numCache>
                <c:formatCode>General</c:formatCode>
                <c:ptCount val="4"/>
                <c:pt idx="0">
                  <c:v>0</c:v>
                </c:pt>
                <c:pt idx="1">
                  <c:v>25</c:v>
                </c:pt>
                <c:pt idx="2">
                  <c:v>16</c:v>
                </c:pt>
                <c:pt idx="3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9DC-4A17-A50D-DC982CFAAD15}"/>
            </c:ext>
          </c:extLst>
        </c:ser>
        <c:ser>
          <c:idx val="5"/>
          <c:order val="5"/>
          <c:tx>
            <c:strRef>
              <c:f>Age!$A$33</c:f>
              <c:strCache>
                <c:ptCount val="1"/>
                <c:pt idx="0">
                  <c:v>40 – 49</c:v>
                </c:pt>
              </c:strCache>
            </c:strRef>
          </c:tx>
          <c:spPr>
            <a:solidFill>
              <a:srgbClr val="70AD47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1" strike="noStrike" spc="-1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Age!$B$27:$E$27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Age!$B$33:$E$33</c:f>
              <c:numCache>
                <c:formatCode>General</c:formatCode>
                <c:ptCount val="4"/>
                <c:pt idx="0">
                  <c:v>0</c:v>
                </c:pt>
                <c:pt idx="1">
                  <c:v>6</c:v>
                </c:pt>
                <c:pt idx="2">
                  <c:v>6</c:v>
                </c:pt>
                <c:pt idx="3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9DC-4A17-A50D-DC982CFAAD15}"/>
            </c:ext>
          </c:extLst>
        </c:ser>
        <c:ser>
          <c:idx val="6"/>
          <c:order val="6"/>
          <c:tx>
            <c:strRef>
              <c:f>Age!$A$34</c:f>
              <c:strCache>
                <c:ptCount val="1"/>
                <c:pt idx="0">
                  <c:v>50 – 59</c:v>
                </c:pt>
              </c:strCache>
            </c:strRef>
          </c:tx>
          <c:spPr>
            <a:solidFill>
              <a:srgbClr val="264478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1" strike="noStrike" spc="-1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Age!$B$27:$E$27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Age!$B$34:$E$34</c:f>
              <c:numCache>
                <c:formatCode>General</c:formatCode>
                <c:ptCount val="4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9DC-4A17-A50D-DC982CFAAD15}"/>
            </c:ext>
          </c:extLst>
        </c:ser>
        <c:ser>
          <c:idx val="7"/>
          <c:order val="7"/>
          <c:tx>
            <c:strRef>
              <c:f>Age!$A$35</c:f>
              <c:strCache>
                <c:ptCount val="1"/>
                <c:pt idx="0">
                  <c:v>60 – 69</c:v>
                </c:pt>
              </c:strCache>
            </c:strRef>
          </c:tx>
          <c:spPr>
            <a:solidFill>
              <a:srgbClr val="9E480E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1" strike="noStrike" spc="-1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Age!$B$27:$E$27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Age!$B$35:$E$35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9DC-4A17-A50D-DC982CFAAD15}"/>
            </c:ext>
          </c:extLst>
        </c:ser>
        <c:ser>
          <c:idx val="8"/>
          <c:order val="8"/>
          <c:tx>
            <c:strRef>
              <c:f>Age!$A$36</c:f>
              <c:strCache>
                <c:ptCount val="1"/>
                <c:pt idx="0">
                  <c:v>70++</c:v>
                </c:pt>
              </c:strCache>
            </c:strRef>
          </c:tx>
          <c:spPr>
            <a:solidFill>
              <a:srgbClr val="636363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1" strike="noStrike" spc="-1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Age!$B$27:$E$27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Age!$B$36:$E$36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9DC-4A17-A50D-DC982CFAAD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9"/>
        <c:shape val="box"/>
        <c:axId val="5129248"/>
        <c:axId val="97168847"/>
        <c:axId val="0"/>
      </c:bar3DChart>
      <c:catAx>
        <c:axId val="51292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800" b="0" strike="noStrike" spc="109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7168847"/>
        <c:crosses val="autoZero"/>
        <c:auto val="1"/>
        <c:lblAlgn val="ctr"/>
        <c:lblOffset val="100"/>
        <c:noMultiLvlLbl val="0"/>
      </c:catAx>
      <c:valAx>
        <c:axId val="9716884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IN" sz="9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en-IN" sz="900" b="0" strike="noStrike" spc="-1">
                    <a:solidFill>
                      <a:srgbClr val="595959"/>
                    </a:solidFill>
                    <a:latin typeface="Calibri"/>
                  </a:rPr>
                  <a:t>PERCENTAGES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0%" sourceLinked="0"/>
        <c:majorTickMark val="out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129248"/>
        <c:crosses val="autoZero"/>
        <c:crossBetween val="between"/>
      </c:valAx>
    </c:plotArea>
    <c:legend>
      <c:legendPos val="t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view3D>
      <c:rotX val="15"/>
      <c:rotY val="20"/>
      <c:rAngAx val="1"/>
    </c:view3D>
    <c:floor>
      <c:thickness val="0"/>
      <c:spPr>
        <a:noFill/>
        <a:ln w="6480">
          <a:noFill/>
        </a:ln>
      </c:spPr>
    </c:floor>
    <c:sideWall>
      <c:thickness val="0"/>
      <c:spPr>
        <a:noFill/>
        <a:ln w="6480">
          <a:noFill/>
        </a:ln>
      </c:spPr>
    </c:sideWall>
    <c:backWall>
      <c:thickness val="0"/>
      <c:spPr>
        <a:noFill/>
        <a:ln w="6480">
          <a:noFill/>
        </a:ln>
      </c:spPr>
    </c:backWall>
    <c:plotArea>
      <c:layout/>
      <c:bar3DChart>
        <c:barDir val="bar"/>
        <c:grouping val="percentStacked"/>
        <c:varyColors val="0"/>
        <c:ser>
          <c:idx val="0"/>
          <c:order val="0"/>
          <c:tx>
            <c:strRef>
              <c:f>Age!$A$59</c:f>
              <c:strCache>
                <c:ptCount val="1"/>
                <c:pt idx="0">
                  <c:v>0 – 2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1" strike="noStrike" spc="-1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Age!$B$58:$E$58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Age!$B$59:$E$59</c:f>
              <c:numCache>
                <c:formatCode>General</c:formatCode>
                <c:ptCount val="4"/>
                <c:pt idx="0">
                  <c:v>0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DA-4806-9D9A-B67A47B886A3}"/>
            </c:ext>
          </c:extLst>
        </c:ser>
        <c:ser>
          <c:idx val="1"/>
          <c:order val="1"/>
          <c:tx>
            <c:strRef>
              <c:f>Age!$A$60</c:f>
              <c:strCache>
                <c:ptCount val="1"/>
                <c:pt idx="0">
                  <c:v>3 – 9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1" strike="noStrike" spc="-1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Age!$B$58:$E$58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Age!$B$60:$E$60</c:f>
              <c:numCache>
                <c:formatCode>General</c:formatCode>
                <c:ptCount val="4"/>
                <c:pt idx="0">
                  <c:v>0</c:v>
                </c:pt>
                <c:pt idx="1">
                  <c:v>13</c:v>
                </c:pt>
                <c:pt idx="2">
                  <c:v>12</c:v>
                </c:pt>
                <c:pt idx="3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3DA-4806-9D9A-B67A47B886A3}"/>
            </c:ext>
          </c:extLst>
        </c:ser>
        <c:ser>
          <c:idx val="2"/>
          <c:order val="2"/>
          <c:tx>
            <c:strRef>
              <c:f>Age!$A$61</c:f>
              <c:strCache>
                <c:ptCount val="1"/>
                <c:pt idx="0">
                  <c:v>10 – 19</c:v>
                </c:pt>
              </c:strCache>
            </c:strRef>
          </c:tx>
          <c:spPr>
            <a:solidFill>
              <a:srgbClr val="A5A5A5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1" strike="noStrike" spc="-1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Age!$B$58:$E$58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Age!$B$61:$E$61</c:f>
              <c:numCache>
                <c:formatCode>General</c:formatCode>
                <c:ptCount val="4"/>
                <c:pt idx="0">
                  <c:v>0</c:v>
                </c:pt>
                <c:pt idx="1">
                  <c:v>8</c:v>
                </c:pt>
                <c:pt idx="2">
                  <c:v>13</c:v>
                </c:pt>
                <c:pt idx="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3DA-4806-9D9A-B67A47B886A3}"/>
            </c:ext>
          </c:extLst>
        </c:ser>
        <c:ser>
          <c:idx val="3"/>
          <c:order val="3"/>
          <c:tx>
            <c:strRef>
              <c:f>Age!$A$62</c:f>
              <c:strCache>
                <c:ptCount val="1"/>
                <c:pt idx="0">
                  <c:v>20 – 29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1" strike="noStrike" spc="-1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Age!$B$58:$E$58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Age!$B$62:$E$62</c:f>
              <c:numCache>
                <c:formatCode>General</c:formatCode>
                <c:ptCount val="4"/>
                <c:pt idx="0">
                  <c:v>0</c:v>
                </c:pt>
                <c:pt idx="1">
                  <c:v>39</c:v>
                </c:pt>
                <c:pt idx="2">
                  <c:v>39</c:v>
                </c:pt>
                <c:pt idx="3">
                  <c:v>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3DA-4806-9D9A-B67A47B886A3}"/>
            </c:ext>
          </c:extLst>
        </c:ser>
        <c:ser>
          <c:idx val="4"/>
          <c:order val="4"/>
          <c:tx>
            <c:strRef>
              <c:f>Age!$A$63</c:f>
              <c:strCache>
                <c:ptCount val="1"/>
                <c:pt idx="0">
                  <c:v>30 – 39</c:v>
                </c:pt>
              </c:strCache>
            </c:strRef>
          </c:tx>
          <c:spPr>
            <a:solidFill>
              <a:srgbClr val="5B9BD5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1" strike="noStrike" spc="-1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Age!$B$58:$E$58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Age!$B$63:$E$63</c:f>
              <c:numCache>
                <c:formatCode>General</c:formatCode>
                <c:ptCount val="4"/>
                <c:pt idx="0">
                  <c:v>0</c:v>
                </c:pt>
                <c:pt idx="1">
                  <c:v>25</c:v>
                </c:pt>
                <c:pt idx="2">
                  <c:v>21</c:v>
                </c:pt>
                <c:pt idx="3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3DA-4806-9D9A-B67A47B886A3}"/>
            </c:ext>
          </c:extLst>
        </c:ser>
        <c:ser>
          <c:idx val="5"/>
          <c:order val="5"/>
          <c:tx>
            <c:strRef>
              <c:f>Age!$A$64</c:f>
              <c:strCache>
                <c:ptCount val="1"/>
                <c:pt idx="0">
                  <c:v>40 – 49</c:v>
                </c:pt>
              </c:strCache>
            </c:strRef>
          </c:tx>
          <c:spPr>
            <a:solidFill>
              <a:srgbClr val="70AD47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1" strike="noStrike" spc="-1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Age!$B$58:$E$58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Age!$B$64:$E$64</c:f>
              <c:numCache>
                <c:formatCode>General</c:formatCode>
                <c:ptCount val="4"/>
                <c:pt idx="0">
                  <c:v>0</c:v>
                </c:pt>
                <c:pt idx="1">
                  <c:v>9</c:v>
                </c:pt>
                <c:pt idx="2">
                  <c:v>9</c:v>
                </c:pt>
                <c:pt idx="3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3DA-4806-9D9A-B67A47B886A3}"/>
            </c:ext>
          </c:extLst>
        </c:ser>
        <c:ser>
          <c:idx val="6"/>
          <c:order val="6"/>
          <c:tx>
            <c:strRef>
              <c:f>Age!$A$65</c:f>
              <c:strCache>
                <c:ptCount val="1"/>
                <c:pt idx="0">
                  <c:v>50 – 59</c:v>
                </c:pt>
              </c:strCache>
            </c:strRef>
          </c:tx>
          <c:spPr>
            <a:solidFill>
              <a:srgbClr val="264478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1" strike="noStrike" spc="-1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Age!$B$58:$E$58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Age!$B$65:$E$65</c:f>
              <c:numCache>
                <c:formatCode>General</c:formatCode>
                <c:ptCount val="4"/>
                <c:pt idx="0">
                  <c:v>0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3DA-4806-9D9A-B67A47B886A3}"/>
            </c:ext>
          </c:extLst>
        </c:ser>
        <c:ser>
          <c:idx val="7"/>
          <c:order val="7"/>
          <c:tx>
            <c:strRef>
              <c:f>Age!$A$66</c:f>
              <c:strCache>
                <c:ptCount val="1"/>
                <c:pt idx="0">
                  <c:v>60 – 69</c:v>
                </c:pt>
              </c:strCache>
            </c:strRef>
          </c:tx>
          <c:spPr>
            <a:solidFill>
              <a:srgbClr val="9E480E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1" strike="noStrike" spc="-1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Age!$B$58:$E$58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Age!$B$66:$E$66</c:f>
              <c:numCache>
                <c:formatCode>General</c:formatCode>
                <c:ptCount val="4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3DA-4806-9D9A-B67A47B886A3}"/>
            </c:ext>
          </c:extLst>
        </c:ser>
        <c:ser>
          <c:idx val="8"/>
          <c:order val="8"/>
          <c:tx>
            <c:strRef>
              <c:f>Age!$A$67</c:f>
              <c:strCache>
                <c:ptCount val="1"/>
                <c:pt idx="0">
                  <c:v>70++</c:v>
                </c:pt>
              </c:strCache>
            </c:strRef>
          </c:tx>
          <c:spPr>
            <a:solidFill>
              <a:srgbClr val="636363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1" strike="noStrike" spc="-1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Age!$B$58:$E$58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Age!$B$67:$E$67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3DA-4806-9D9A-B67A47B886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9"/>
        <c:shape val="box"/>
        <c:axId val="53829216"/>
        <c:axId val="37422640"/>
        <c:axId val="0"/>
      </c:bar3DChart>
      <c:catAx>
        <c:axId val="5382921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800" b="0" strike="noStrike" spc="109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7422640"/>
        <c:crosses val="autoZero"/>
        <c:auto val="1"/>
        <c:lblAlgn val="ctr"/>
        <c:lblOffset val="100"/>
        <c:noMultiLvlLbl val="0"/>
      </c:catAx>
      <c:valAx>
        <c:axId val="3742264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IN" sz="9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en-IN" sz="900" b="0" strike="noStrike" spc="-1">
                    <a:solidFill>
                      <a:srgbClr val="595959"/>
                    </a:solidFill>
                    <a:latin typeface="Calibri"/>
                  </a:rPr>
                  <a:t>PERCENTAGES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0%" sourceLinked="0"/>
        <c:majorTickMark val="out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3829216"/>
        <c:crosses val="autoZero"/>
        <c:crossBetween val="between"/>
      </c:valAx>
    </c:plotArea>
    <c:legend>
      <c:legendPos val="t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Age!$B$74</c:f>
              <c:strCache>
                <c:ptCount val="1"/>
                <c:pt idx="0">
                  <c:v>Dataset</c:v>
                </c:pt>
              </c:strCache>
            </c:strRef>
          </c:tx>
          <c:spPr>
            <a:solidFill>
              <a:srgbClr val="004586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Age!$A$75:$A$77</c:f>
              <c:strCache>
                <c:ptCount val="3"/>
                <c:pt idx="0">
                  <c:v>CelebA-HQ</c:v>
                </c:pt>
                <c:pt idx="1">
                  <c:v>FairFace</c:v>
                </c:pt>
                <c:pt idx="2">
                  <c:v>Bal-FairFace</c:v>
                </c:pt>
              </c:strCache>
            </c:strRef>
          </c:cat>
          <c:val>
            <c:numRef>
              <c:f>Age!$B$75:$B$77</c:f>
              <c:numCache>
                <c:formatCode>General</c:formatCode>
                <c:ptCount val="3"/>
                <c:pt idx="0">
                  <c:v>0.2</c:v>
                </c:pt>
                <c:pt idx="1">
                  <c:v>0.1</c:v>
                </c:pt>
                <c:pt idx="2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80-47DA-BC82-0419E87719AF}"/>
            </c:ext>
          </c:extLst>
        </c:ser>
        <c:ser>
          <c:idx val="1"/>
          <c:order val="1"/>
          <c:tx>
            <c:strRef>
              <c:f>Age!$C$74</c:f>
              <c:strCache>
                <c:ptCount val="1"/>
                <c:pt idx="0">
                  <c:v>DDPM</c:v>
                </c:pt>
              </c:strCache>
            </c:strRef>
          </c:tx>
          <c:spPr>
            <a:solidFill>
              <a:srgbClr val="FF420E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Age!$A$75:$A$77</c:f>
              <c:strCache>
                <c:ptCount val="3"/>
                <c:pt idx="0">
                  <c:v>CelebA-HQ</c:v>
                </c:pt>
                <c:pt idx="1">
                  <c:v>FairFace</c:v>
                </c:pt>
                <c:pt idx="2">
                  <c:v>Bal-FairFace</c:v>
                </c:pt>
              </c:strCache>
            </c:strRef>
          </c:cat>
          <c:val>
            <c:numRef>
              <c:f>Age!$C$75:$C$77</c:f>
              <c:numCache>
                <c:formatCode>General</c:formatCode>
                <c:ptCount val="3"/>
                <c:pt idx="0">
                  <c:v>0.27</c:v>
                </c:pt>
                <c:pt idx="1">
                  <c:v>0.14000000000000001</c:v>
                </c:pt>
                <c:pt idx="2">
                  <c:v>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80-47DA-BC82-0419E87719AF}"/>
            </c:ext>
          </c:extLst>
        </c:ser>
        <c:ser>
          <c:idx val="2"/>
          <c:order val="2"/>
          <c:tx>
            <c:strRef>
              <c:f>Age!$D$74</c:f>
              <c:strCache>
                <c:ptCount val="1"/>
                <c:pt idx="0">
                  <c:v>DDGAN</c:v>
                </c:pt>
              </c:strCache>
            </c:strRef>
          </c:tx>
          <c:spPr>
            <a:solidFill>
              <a:srgbClr val="FFD32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Age!$A$75:$A$77</c:f>
              <c:strCache>
                <c:ptCount val="3"/>
                <c:pt idx="0">
                  <c:v>CelebA-HQ</c:v>
                </c:pt>
                <c:pt idx="1">
                  <c:v>FairFace</c:v>
                </c:pt>
                <c:pt idx="2">
                  <c:v>Bal-FairFace</c:v>
                </c:pt>
              </c:strCache>
            </c:strRef>
          </c:cat>
          <c:val>
            <c:numRef>
              <c:f>Age!$D$75:$D$77</c:f>
              <c:numCache>
                <c:formatCode>General</c:formatCode>
                <c:ptCount val="3"/>
                <c:pt idx="0">
                  <c:v>0.21</c:v>
                </c:pt>
                <c:pt idx="1">
                  <c:v>0.15</c:v>
                </c:pt>
                <c:pt idx="2">
                  <c:v>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B80-47DA-BC82-0419E87719AF}"/>
            </c:ext>
          </c:extLst>
        </c:ser>
        <c:ser>
          <c:idx val="3"/>
          <c:order val="3"/>
          <c:tx>
            <c:strRef>
              <c:f>Age!$E$74</c:f>
              <c:strCache>
                <c:ptCount val="1"/>
                <c:pt idx="0">
                  <c:v>LDM</c:v>
                </c:pt>
              </c:strCache>
            </c:strRef>
          </c:tx>
          <c:spPr>
            <a:solidFill>
              <a:srgbClr val="579D1C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Age!$A$75:$A$77</c:f>
              <c:strCache>
                <c:ptCount val="3"/>
                <c:pt idx="0">
                  <c:v>CelebA-HQ</c:v>
                </c:pt>
                <c:pt idx="1">
                  <c:v>FairFace</c:v>
                </c:pt>
                <c:pt idx="2">
                  <c:v>Bal-FairFace</c:v>
                </c:pt>
              </c:strCache>
            </c:strRef>
          </c:cat>
          <c:val>
            <c:numRef>
              <c:f>Age!$E$75:$E$77</c:f>
              <c:numCache>
                <c:formatCode>General</c:formatCode>
                <c:ptCount val="3"/>
                <c:pt idx="0">
                  <c:v>0.22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B80-47DA-BC82-0419E87719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41057794"/>
        <c:axId val="5438135"/>
      </c:barChart>
      <c:catAx>
        <c:axId val="4105779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en-US"/>
          </a:p>
        </c:txPr>
        <c:crossAx val="5438135"/>
        <c:crosses val="autoZero"/>
        <c:auto val="1"/>
        <c:lblAlgn val="ctr"/>
        <c:lblOffset val="100"/>
        <c:noMultiLvlLbl val="0"/>
      </c:catAx>
      <c:valAx>
        <c:axId val="5438135"/>
        <c:scaling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en-US"/>
          </a:p>
        </c:txPr>
        <c:crossAx val="41057794"/>
        <c:crosses val="autoZero"/>
        <c:crossBetween val="between"/>
      </c:valAx>
      <c:spPr>
        <a:noFill/>
        <a:ln>
          <a:solidFill>
            <a:srgbClr val="B3B3B3"/>
          </a:solidFill>
        </a:ln>
      </c:spPr>
    </c:plotArea>
    <c:legend>
      <c:legendPos val="r"/>
      <c:overlay val="0"/>
      <c:spPr>
        <a:noFill/>
        <a:ln>
          <a:noFill/>
        </a:ln>
      </c:spPr>
      <c:txPr>
        <a:bodyPr/>
        <a:lstStyle/>
        <a:p>
          <a:pPr>
            <a:defRPr sz="1000" b="0" strike="noStrike" spc="-1">
              <a:latin typeface="Arial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bar"/>
        <c:grouping val="percentStacked"/>
        <c:varyColors val="0"/>
        <c:ser>
          <c:idx val="0"/>
          <c:order val="0"/>
          <c:tx>
            <c:strRef>
              <c:f>Age!$A$2</c:f>
              <c:strCache>
                <c:ptCount val="1"/>
                <c:pt idx="0">
                  <c:v>10 – 19</c:v>
                </c:pt>
              </c:strCache>
            </c:strRef>
          </c:tx>
          <c:spPr>
            <a:solidFill>
              <a:srgbClr val="004586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Age!$B$1:$E$1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Age!$B$2:$E$2</c:f>
              <c:numCache>
                <c:formatCode>General</c:formatCode>
                <c:ptCount val="4"/>
                <c:pt idx="0">
                  <c:v>3</c:v>
                </c:pt>
                <c:pt idx="1">
                  <c:v>1</c:v>
                </c:pt>
                <c:pt idx="2">
                  <c:v>3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30-4614-830F-B37386BF0904}"/>
            </c:ext>
          </c:extLst>
        </c:ser>
        <c:ser>
          <c:idx val="1"/>
          <c:order val="1"/>
          <c:tx>
            <c:strRef>
              <c:f>Age!$A$3</c:f>
              <c:strCache>
                <c:ptCount val="1"/>
                <c:pt idx="0">
                  <c:v>20 – 29</c:v>
                </c:pt>
              </c:strCache>
            </c:strRef>
          </c:tx>
          <c:spPr>
            <a:solidFill>
              <a:srgbClr val="FF420E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Age!$B$1:$E$1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Age!$B$3:$E$3</c:f>
              <c:numCache>
                <c:formatCode>General</c:formatCode>
                <c:ptCount val="4"/>
                <c:pt idx="0">
                  <c:v>67</c:v>
                </c:pt>
                <c:pt idx="1">
                  <c:v>60</c:v>
                </c:pt>
                <c:pt idx="2">
                  <c:v>80</c:v>
                </c:pt>
                <c:pt idx="3">
                  <c:v>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530-4614-830F-B37386BF0904}"/>
            </c:ext>
          </c:extLst>
        </c:ser>
        <c:ser>
          <c:idx val="2"/>
          <c:order val="2"/>
          <c:tx>
            <c:strRef>
              <c:f>Age!$A$4</c:f>
              <c:strCache>
                <c:ptCount val="1"/>
                <c:pt idx="0">
                  <c:v>30 – 39</c:v>
                </c:pt>
              </c:strCache>
            </c:strRef>
          </c:tx>
          <c:spPr>
            <a:solidFill>
              <a:srgbClr val="FFD32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Age!$B$1:$E$1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Age!$B$4:$E$4</c:f>
              <c:numCache>
                <c:formatCode>General</c:formatCode>
                <c:ptCount val="4"/>
                <c:pt idx="0">
                  <c:v>16</c:v>
                </c:pt>
                <c:pt idx="1">
                  <c:v>28</c:v>
                </c:pt>
                <c:pt idx="2">
                  <c:v>14</c:v>
                </c:pt>
                <c:pt idx="3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530-4614-830F-B37386BF0904}"/>
            </c:ext>
          </c:extLst>
        </c:ser>
        <c:ser>
          <c:idx val="3"/>
          <c:order val="3"/>
          <c:tx>
            <c:strRef>
              <c:f>Age!$A$5</c:f>
              <c:strCache>
                <c:ptCount val="1"/>
                <c:pt idx="0">
                  <c:v>40 – 49</c:v>
                </c:pt>
              </c:strCache>
            </c:strRef>
          </c:tx>
          <c:spPr>
            <a:solidFill>
              <a:srgbClr val="579D1C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Age!$B$1:$E$1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Age!$B$5:$E$5</c:f>
              <c:numCache>
                <c:formatCode>General</c:formatCode>
                <c:ptCount val="4"/>
                <c:pt idx="0">
                  <c:v>7</c:v>
                </c:pt>
                <c:pt idx="1">
                  <c:v>6</c:v>
                </c:pt>
                <c:pt idx="2">
                  <c:v>2</c:v>
                </c:pt>
                <c:pt idx="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530-4614-830F-B37386BF0904}"/>
            </c:ext>
          </c:extLst>
        </c:ser>
        <c:ser>
          <c:idx val="4"/>
          <c:order val="4"/>
          <c:tx>
            <c:strRef>
              <c:f>Age!$A$6</c:f>
              <c:strCache>
                <c:ptCount val="1"/>
                <c:pt idx="0">
                  <c:v>50 – 59</c:v>
                </c:pt>
              </c:strCache>
            </c:strRef>
          </c:tx>
          <c:spPr>
            <a:solidFill>
              <a:srgbClr val="7E00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Age!$B$1:$E$1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Age!$B$6:$E$6</c:f>
              <c:numCache>
                <c:formatCode>General</c:formatCode>
                <c:ptCount val="4"/>
                <c:pt idx="0">
                  <c:v>5</c:v>
                </c:pt>
                <c:pt idx="1">
                  <c:v>4</c:v>
                </c:pt>
                <c:pt idx="2">
                  <c:v>1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530-4614-830F-B37386BF0904}"/>
            </c:ext>
          </c:extLst>
        </c:ser>
        <c:ser>
          <c:idx val="5"/>
          <c:order val="5"/>
          <c:tx>
            <c:strRef>
              <c:f>Age!$A$7</c:f>
              <c:strCache>
                <c:ptCount val="1"/>
                <c:pt idx="0">
                  <c:v>60 – 69</c:v>
                </c:pt>
              </c:strCache>
            </c:strRef>
          </c:tx>
          <c:spPr>
            <a:solidFill>
              <a:srgbClr val="83CAFF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Age!$B$1:$E$1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Age!$B$7:$E$7</c:f>
              <c:numCache>
                <c:formatCode>General</c:formatCode>
                <c:ptCount val="4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530-4614-830F-B37386BF0904}"/>
            </c:ext>
          </c:extLst>
        </c:ser>
        <c:ser>
          <c:idx val="6"/>
          <c:order val="6"/>
          <c:tx>
            <c:strRef>
              <c:f>Age!$A$8</c:f>
              <c:strCache>
                <c:ptCount val="1"/>
                <c:pt idx="0">
                  <c:v>70++</c:v>
                </c:pt>
              </c:strCache>
            </c:strRef>
          </c:tx>
          <c:spPr>
            <a:solidFill>
              <a:srgbClr val="31400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Age!$B$1:$E$1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Age!$B$8:$E$8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530-4614-830F-B37386BF09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8888085"/>
        <c:axId val="17308811"/>
      </c:barChart>
      <c:catAx>
        <c:axId val="18888085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en-US"/>
          </a:p>
        </c:txPr>
        <c:crossAx val="17308811"/>
        <c:crosses val="autoZero"/>
        <c:auto val="1"/>
        <c:lblAlgn val="ctr"/>
        <c:lblOffset val="100"/>
        <c:noMultiLvlLbl val="0"/>
      </c:catAx>
      <c:valAx>
        <c:axId val="17308811"/>
        <c:scaling>
          <c:orientation val="minMax"/>
        </c:scaling>
        <c:delete val="0"/>
        <c:axPos val="b"/>
        <c:majorGridlines>
          <c:spPr>
            <a:ln>
              <a:solidFill>
                <a:srgbClr val="B3B3B3"/>
              </a:solidFill>
            </a:ln>
          </c:spPr>
        </c:majorGridlines>
        <c:numFmt formatCode="0%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en-US"/>
          </a:p>
        </c:txPr>
        <c:crossAx val="18888085"/>
        <c:crosses val="autoZero"/>
        <c:crossBetween val="between"/>
      </c:valAx>
      <c:spPr>
        <a:noFill/>
        <a:ln>
          <a:solidFill>
            <a:srgbClr val="B3B3B3"/>
          </a:solidFill>
        </a:ln>
      </c:spPr>
    </c:plotArea>
    <c:legend>
      <c:legendPos val="t"/>
      <c:overlay val="0"/>
      <c:spPr>
        <a:noFill/>
        <a:ln>
          <a:noFill/>
        </a:ln>
      </c:spPr>
      <c:txPr>
        <a:bodyPr/>
        <a:lstStyle/>
        <a:p>
          <a:pPr>
            <a:defRPr sz="1000" b="0" strike="noStrike" spc="-1">
              <a:latin typeface="Arial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bar"/>
        <c:grouping val="percentStacked"/>
        <c:varyColors val="0"/>
        <c:ser>
          <c:idx val="0"/>
          <c:order val="0"/>
          <c:tx>
            <c:strRef>
              <c:f>Age!$A$28</c:f>
              <c:strCache>
                <c:ptCount val="1"/>
                <c:pt idx="0">
                  <c:v>0 – 2</c:v>
                </c:pt>
              </c:strCache>
            </c:strRef>
          </c:tx>
          <c:spPr>
            <a:solidFill>
              <a:srgbClr val="004586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Age!$B$27:$E$27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Age!$B$28:$E$28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A6-4837-84BF-0710347EECD5}"/>
            </c:ext>
          </c:extLst>
        </c:ser>
        <c:ser>
          <c:idx val="1"/>
          <c:order val="1"/>
          <c:tx>
            <c:strRef>
              <c:f>Age!$A$29</c:f>
              <c:strCache>
                <c:ptCount val="1"/>
                <c:pt idx="0">
                  <c:v>3 – 9</c:v>
                </c:pt>
              </c:strCache>
            </c:strRef>
          </c:tx>
          <c:spPr>
            <a:solidFill>
              <a:srgbClr val="FF420E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Age!$B$27:$E$27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Age!$B$29:$E$29</c:f>
              <c:numCache>
                <c:formatCode>General</c:formatCode>
                <c:ptCount val="4"/>
                <c:pt idx="0">
                  <c:v>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7A6-4837-84BF-0710347EECD5}"/>
            </c:ext>
          </c:extLst>
        </c:ser>
        <c:ser>
          <c:idx val="2"/>
          <c:order val="2"/>
          <c:tx>
            <c:strRef>
              <c:f>Age!$A$30</c:f>
              <c:strCache>
                <c:ptCount val="1"/>
                <c:pt idx="0">
                  <c:v>10 – 19</c:v>
                </c:pt>
              </c:strCache>
            </c:strRef>
          </c:tx>
          <c:spPr>
            <a:solidFill>
              <a:srgbClr val="FFD32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Age!$B$27:$E$27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Age!$B$30:$E$30</c:f>
              <c:numCache>
                <c:formatCode>General</c:formatCode>
                <c:ptCount val="4"/>
                <c:pt idx="0">
                  <c:v>0</c:v>
                </c:pt>
                <c:pt idx="1">
                  <c:v>8</c:v>
                </c:pt>
                <c:pt idx="2">
                  <c:v>19</c:v>
                </c:pt>
                <c:pt idx="3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7A6-4837-84BF-0710347EECD5}"/>
            </c:ext>
          </c:extLst>
        </c:ser>
        <c:ser>
          <c:idx val="3"/>
          <c:order val="3"/>
          <c:tx>
            <c:strRef>
              <c:f>Age!$A$31</c:f>
              <c:strCache>
                <c:ptCount val="1"/>
                <c:pt idx="0">
                  <c:v>20 – 29</c:v>
                </c:pt>
              </c:strCache>
            </c:strRef>
          </c:tx>
          <c:spPr>
            <a:solidFill>
              <a:srgbClr val="579D1C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Age!$B$27:$E$27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Age!$B$31:$E$31</c:f>
              <c:numCache>
                <c:formatCode>General</c:formatCode>
                <c:ptCount val="4"/>
                <c:pt idx="0">
                  <c:v>0</c:v>
                </c:pt>
                <c:pt idx="1">
                  <c:v>49</c:v>
                </c:pt>
                <c:pt idx="2">
                  <c:v>45</c:v>
                </c:pt>
                <c:pt idx="3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7A6-4837-84BF-0710347EECD5}"/>
            </c:ext>
          </c:extLst>
        </c:ser>
        <c:ser>
          <c:idx val="4"/>
          <c:order val="4"/>
          <c:tx>
            <c:strRef>
              <c:f>Age!$A$32</c:f>
              <c:strCache>
                <c:ptCount val="1"/>
                <c:pt idx="0">
                  <c:v>30 – 39</c:v>
                </c:pt>
              </c:strCache>
            </c:strRef>
          </c:tx>
          <c:spPr>
            <a:solidFill>
              <a:srgbClr val="7E00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Age!$B$27:$E$27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Age!$B$32:$E$32</c:f>
              <c:numCache>
                <c:formatCode>General</c:formatCode>
                <c:ptCount val="4"/>
                <c:pt idx="0">
                  <c:v>0</c:v>
                </c:pt>
                <c:pt idx="1">
                  <c:v>25</c:v>
                </c:pt>
                <c:pt idx="2">
                  <c:v>16</c:v>
                </c:pt>
                <c:pt idx="3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7A6-4837-84BF-0710347EECD5}"/>
            </c:ext>
          </c:extLst>
        </c:ser>
        <c:ser>
          <c:idx val="5"/>
          <c:order val="5"/>
          <c:tx>
            <c:strRef>
              <c:f>Age!$A$33</c:f>
              <c:strCache>
                <c:ptCount val="1"/>
                <c:pt idx="0">
                  <c:v>40 – 49</c:v>
                </c:pt>
              </c:strCache>
            </c:strRef>
          </c:tx>
          <c:spPr>
            <a:solidFill>
              <a:srgbClr val="83CAFF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Age!$B$27:$E$27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Age!$B$33:$E$33</c:f>
              <c:numCache>
                <c:formatCode>General</c:formatCode>
                <c:ptCount val="4"/>
                <c:pt idx="0">
                  <c:v>0</c:v>
                </c:pt>
                <c:pt idx="1">
                  <c:v>6</c:v>
                </c:pt>
                <c:pt idx="2">
                  <c:v>6</c:v>
                </c:pt>
                <c:pt idx="3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7A6-4837-84BF-0710347EECD5}"/>
            </c:ext>
          </c:extLst>
        </c:ser>
        <c:ser>
          <c:idx val="6"/>
          <c:order val="6"/>
          <c:tx>
            <c:strRef>
              <c:f>Age!$A$34</c:f>
              <c:strCache>
                <c:ptCount val="1"/>
                <c:pt idx="0">
                  <c:v>50 – 59</c:v>
                </c:pt>
              </c:strCache>
            </c:strRef>
          </c:tx>
          <c:spPr>
            <a:solidFill>
              <a:srgbClr val="31400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Age!$B$27:$E$27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Age!$B$34:$E$34</c:f>
              <c:numCache>
                <c:formatCode>General</c:formatCode>
                <c:ptCount val="4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7A6-4837-84BF-0710347EECD5}"/>
            </c:ext>
          </c:extLst>
        </c:ser>
        <c:ser>
          <c:idx val="7"/>
          <c:order val="7"/>
          <c:tx>
            <c:strRef>
              <c:f>Age!$A$35</c:f>
              <c:strCache>
                <c:ptCount val="1"/>
                <c:pt idx="0">
                  <c:v>60 – 69</c:v>
                </c:pt>
              </c:strCache>
            </c:strRef>
          </c:tx>
          <c:spPr>
            <a:solidFill>
              <a:srgbClr val="AEC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Age!$B$27:$E$27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Age!$B$35:$E$35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7A6-4837-84BF-0710347EECD5}"/>
            </c:ext>
          </c:extLst>
        </c:ser>
        <c:ser>
          <c:idx val="8"/>
          <c:order val="8"/>
          <c:tx>
            <c:strRef>
              <c:f>Age!$A$36</c:f>
              <c:strCache>
                <c:ptCount val="1"/>
                <c:pt idx="0">
                  <c:v>70++</c:v>
                </c:pt>
              </c:strCache>
            </c:strRef>
          </c:tx>
          <c:spPr>
            <a:solidFill>
              <a:srgbClr val="4B1F6F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Age!$B$27:$E$27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Age!$B$36:$E$36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7A6-4837-84BF-0710347EEC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83085861"/>
        <c:axId val="97202994"/>
      </c:barChart>
      <c:catAx>
        <c:axId val="83085861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en-US"/>
          </a:p>
        </c:txPr>
        <c:crossAx val="97202994"/>
        <c:crosses val="autoZero"/>
        <c:auto val="1"/>
        <c:lblAlgn val="ctr"/>
        <c:lblOffset val="100"/>
        <c:noMultiLvlLbl val="0"/>
      </c:catAx>
      <c:valAx>
        <c:axId val="97202994"/>
        <c:scaling>
          <c:orientation val="minMax"/>
        </c:scaling>
        <c:delete val="0"/>
        <c:axPos val="b"/>
        <c:majorGridlines>
          <c:spPr>
            <a:ln>
              <a:solidFill>
                <a:srgbClr val="B3B3B3"/>
              </a:solidFill>
            </a:ln>
          </c:spPr>
        </c:majorGridlines>
        <c:numFmt formatCode="0%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en-US"/>
          </a:p>
        </c:txPr>
        <c:crossAx val="83085861"/>
        <c:crosses val="autoZero"/>
        <c:crossBetween val="between"/>
      </c:valAx>
      <c:spPr>
        <a:noFill/>
        <a:ln>
          <a:solidFill>
            <a:srgbClr val="B3B3B3"/>
          </a:solidFill>
        </a:ln>
      </c:spPr>
    </c:plotArea>
    <c:legend>
      <c:legendPos val="t"/>
      <c:overlay val="0"/>
      <c:spPr>
        <a:noFill/>
        <a:ln>
          <a:noFill/>
        </a:ln>
      </c:spPr>
      <c:txPr>
        <a:bodyPr/>
        <a:lstStyle/>
        <a:p>
          <a:pPr>
            <a:defRPr sz="1000" b="0" strike="noStrike" spc="-1">
              <a:latin typeface="Arial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bar"/>
        <c:grouping val="percentStacked"/>
        <c:varyColors val="0"/>
        <c:ser>
          <c:idx val="0"/>
          <c:order val="0"/>
          <c:tx>
            <c:strRef>
              <c:f>Age!$A$59</c:f>
              <c:strCache>
                <c:ptCount val="1"/>
                <c:pt idx="0">
                  <c:v>0 – 2</c:v>
                </c:pt>
              </c:strCache>
            </c:strRef>
          </c:tx>
          <c:spPr>
            <a:solidFill>
              <a:srgbClr val="004586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Age!$B$58:$E$58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Age!$B$59:$E$59</c:f>
              <c:numCache>
                <c:formatCode>General</c:formatCode>
                <c:ptCount val="4"/>
                <c:pt idx="0">
                  <c:v>0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6C-41C2-9DA9-95472908B301}"/>
            </c:ext>
          </c:extLst>
        </c:ser>
        <c:ser>
          <c:idx val="1"/>
          <c:order val="1"/>
          <c:tx>
            <c:strRef>
              <c:f>Age!$A$60</c:f>
              <c:strCache>
                <c:ptCount val="1"/>
                <c:pt idx="0">
                  <c:v>3 – 9</c:v>
                </c:pt>
              </c:strCache>
            </c:strRef>
          </c:tx>
          <c:spPr>
            <a:solidFill>
              <a:srgbClr val="FF420E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Age!$B$58:$E$58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Age!$B$60:$E$60</c:f>
              <c:numCache>
                <c:formatCode>General</c:formatCode>
                <c:ptCount val="4"/>
                <c:pt idx="0">
                  <c:v>0</c:v>
                </c:pt>
                <c:pt idx="1">
                  <c:v>13</c:v>
                </c:pt>
                <c:pt idx="2">
                  <c:v>12</c:v>
                </c:pt>
                <c:pt idx="3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46C-41C2-9DA9-95472908B301}"/>
            </c:ext>
          </c:extLst>
        </c:ser>
        <c:ser>
          <c:idx val="2"/>
          <c:order val="2"/>
          <c:tx>
            <c:strRef>
              <c:f>Age!$A$61</c:f>
              <c:strCache>
                <c:ptCount val="1"/>
                <c:pt idx="0">
                  <c:v>10 – 19</c:v>
                </c:pt>
              </c:strCache>
            </c:strRef>
          </c:tx>
          <c:spPr>
            <a:solidFill>
              <a:srgbClr val="FFD32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Age!$B$58:$E$58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Age!$B$61:$E$61</c:f>
              <c:numCache>
                <c:formatCode>General</c:formatCode>
                <c:ptCount val="4"/>
                <c:pt idx="0">
                  <c:v>0</c:v>
                </c:pt>
                <c:pt idx="1">
                  <c:v>8</c:v>
                </c:pt>
                <c:pt idx="2">
                  <c:v>13</c:v>
                </c:pt>
                <c:pt idx="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46C-41C2-9DA9-95472908B301}"/>
            </c:ext>
          </c:extLst>
        </c:ser>
        <c:ser>
          <c:idx val="3"/>
          <c:order val="3"/>
          <c:tx>
            <c:strRef>
              <c:f>Age!$A$62</c:f>
              <c:strCache>
                <c:ptCount val="1"/>
                <c:pt idx="0">
                  <c:v>20 – 29</c:v>
                </c:pt>
              </c:strCache>
            </c:strRef>
          </c:tx>
          <c:spPr>
            <a:solidFill>
              <a:srgbClr val="579D1C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Age!$B$58:$E$58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Age!$B$62:$E$62</c:f>
              <c:numCache>
                <c:formatCode>General</c:formatCode>
                <c:ptCount val="4"/>
                <c:pt idx="0">
                  <c:v>0</c:v>
                </c:pt>
                <c:pt idx="1">
                  <c:v>39</c:v>
                </c:pt>
                <c:pt idx="2">
                  <c:v>39</c:v>
                </c:pt>
                <c:pt idx="3">
                  <c:v>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46C-41C2-9DA9-95472908B301}"/>
            </c:ext>
          </c:extLst>
        </c:ser>
        <c:ser>
          <c:idx val="4"/>
          <c:order val="4"/>
          <c:tx>
            <c:strRef>
              <c:f>Age!$A$63</c:f>
              <c:strCache>
                <c:ptCount val="1"/>
                <c:pt idx="0">
                  <c:v>30 – 39</c:v>
                </c:pt>
              </c:strCache>
            </c:strRef>
          </c:tx>
          <c:spPr>
            <a:solidFill>
              <a:srgbClr val="7E00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Age!$B$58:$E$58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Age!$B$63:$E$63</c:f>
              <c:numCache>
                <c:formatCode>General</c:formatCode>
                <c:ptCount val="4"/>
                <c:pt idx="0">
                  <c:v>0</c:v>
                </c:pt>
                <c:pt idx="1">
                  <c:v>25</c:v>
                </c:pt>
                <c:pt idx="2">
                  <c:v>21</c:v>
                </c:pt>
                <c:pt idx="3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46C-41C2-9DA9-95472908B301}"/>
            </c:ext>
          </c:extLst>
        </c:ser>
        <c:ser>
          <c:idx val="5"/>
          <c:order val="5"/>
          <c:tx>
            <c:strRef>
              <c:f>Age!$A$64</c:f>
              <c:strCache>
                <c:ptCount val="1"/>
                <c:pt idx="0">
                  <c:v>40 – 49</c:v>
                </c:pt>
              </c:strCache>
            </c:strRef>
          </c:tx>
          <c:spPr>
            <a:solidFill>
              <a:srgbClr val="83CAFF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Age!$B$58:$E$58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Age!$B$64:$E$64</c:f>
              <c:numCache>
                <c:formatCode>General</c:formatCode>
                <c:ptCount val="4"/>
                <c:pt idx="0">
                  <c:v>0</c:v>
                </c:pt>
                <c:pt idx="1">
                  <c:v>9</c:v>
                </c:pt>
                <c:pt idx="2">
                  <c:v>9</c:v>
                </c:pt>
                <c:pt idx="3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46C-41C2-9DA9-95472908B301}"/>
            </c:ext>
          </c:extLst>
        </c:ser>
        <c:ser>
          <c:idx val="6"/>
          <c:order val="6"/>
          <c:tx>
            <c:strRef>
              <c:f>Age!$A$65</c:f>
              <c:strCache>
                <c:ptCount val="1"/>
                <c:pt idx="0">
                  <c:v>50 – 59</c:v>
                </c:pt>
              </c:strCache>
            </c:strRef>
          </c:tx>
          <c:spPr>
            <a:solidFill>
              <a:srgbClr val="31400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Age!$B$58:$E$58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Age!$B$65:$E$65</c:f>
              <c:numCache>
                <c:formatCode>General</c:formatCode>
                <c:ptCount val="4"/>
                <c:pt idx="0">
                  <c:v>0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46C-41C2-9DA9-95472908B301}"/>
            </c:ext>
          </c:extLst>
        </c:ser>
        <c:ser>
          <c:idx val="7"/>
          <c:order val="7"/>
          <c:tx>
            <c:strRef>
              <c:f>Age!$A$66</c:f>
              <c:strCache>
                <c:ptCount val="1"/>
                <c:pt idx="0">
                  <c:v>60 – 69</c:v>
                </c:pt>
              </c:strCache>
            </c:strRef>
          </c:tx>
          <c:spPr>
            <a:solidFill>
              <a:srgbClr val="AEC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Age!$B$58:$E$58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Age!$B$66:$E$66</c:f>
              <c:numCache>
                <c:formatCode>General</c:formatCode>
                <c:ptCount val="4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46C-41C2-9DA9-95472908B301}"/>
            </c:ext>
          </c:extLst>
        </c:ser>
        <c:ser>
          <c:idx val="8"/>
          <c:order val="8"/>
          <c:tx>
            <c:strRef>
              <c:f>Age!$A$67</c:f>
              <c:strCache>
                <c:ptCount val="1"/>
                <c:pt idx="0">
                  <c:v>70++</c:v>
                </c:pt>
              </c:strCache>
            </c:strRef>
          </c:tx>
          <c:spPr>
            <a:solidFill>
              <a:srgbClr val="4B1F6F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Age!$B$58:$E$58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Train</c:v>
                </c:pt>
              </c:strCache>
            </c:strRef>
          </c:cat>
          <c:val>
            <c:numRef>
              <c:f>Age!$B$67:$E$67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46C-41C2-9DA9-95472908B3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2735518"/>
        <c:axId val="55388242"/>
      </c:barChart>
      <c:catAx>
        <c:axId val="12735518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en-US"/>
          </a:p>
        </c:txPr>
        <c:crossAx val="55388242"/>
        <c:crosses val="autoZero"/>
        <c:auto val="1"/>
        <c:lblAlgn val="ctr"/>
        <c:lblOffset val="100"/>
        <c:noMultiLvlLbl val="0"/>
      </c:catAx>
      <c:valAx>
        <c:axId val="55388242"/>
        <c:scaling>
          <c:orientation val="minMax"/>
        </c:scaling>
        <c:delete val="0"/>
        <c:axPos val="b"/>
        <c:majorGridlines>
          <c:spPr>
            <a:ln>
              <a:solidFill>
                <a:srgbClr val="B3B3B3"/>
              </a:solidFill>
            </a:ln>
          </c:spPr>
        </c:majorGridlines>
        <c:numFmt formatCode="0%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en-US"/>
          </a:p>
        </c:txPr>
        <c:crossAx val="12735518"/>
        <c:crosses val="autoZero"/>
        <c:crossBetween val="between"/>
      </c:valAx>
      <c:spPr>
        <a:noFill/>
        <a:ln>
          <a:solidFill>
            <a:srgbClr val="B3B3B3"/>
          </a:solidFill>
        </a:ln>
      </c:spPr>
    </c:plotArea>
    <c:legend>
      <c:legendPos val="t"/>
      <c:overlay val="0"/>
      <c:spPr>
        <a:noFill/>
        <a:ln>
          <a:noFill/>
        </a:ln>
      </c:spPr>
      <c:txPr>
        <a:bodyPr/>
        <a:lstStyle/>
        <a:p>
          <a:pPr>
            <a:defRPr sz="1000" b="0" strike="noStrike" spc="-1">
              <a:latin typeface="Arial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en-IN" sz="1400" b="0" strike="noStrike" spc="-1">
                <a:solidFill>
                  <a:srgbClr val="595959"/>
                </a:solidFill>
                <a:latin typeface="Calibri"/>
              </a:rPr>
              <a:t>Chart Title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bar"/>
        <c:grouping val="percentStacked"/>
        <c:varyColors val="0"/>
        <c:ser>
          <c:idx val="0"/>
          <c:order val="0"/>
          <c:tx>
            <c:strRef>
              <c:f>Sheet1!$A$3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1-9ACB-4A83-AC53-BE556927D6F7}"/>
              </c:ext>
            </c:extLst>
          </c:dPt>
          <c:dLbls>
            <c:dLbl>
              <c:idx val="3"/>
              <c:spPr/>
              <c:txPr>
                <a:bodyPr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9ACB-4A83-AC53-BE556927D6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Sheet1!$B$2:$E$2</c:f>
              <c:strCache>
                <c:ptCount val="4"/>
                <c:pt idx="0">
                  <c:v>Model 1</c:v>
                </c:pt>
                <c:pt idx="1">
                  <c:v>Model 2</c:v>
                </c:pt>
                <c:pt idx="2">
                  <c:v>Model 3</c:v>
                </c:pt>
                <c:pt idx="3">
                  <c:v>Model 4</c:v>
                </c:pt>
              </c:strCache>
            </c:strRef>
          </c:cat>
          <c:val>
            <c:numRef>
              <c:f>Sheet1!$B$3:$E$3</c:f>
              <c:numCache>
                <c:formatCode>0.00%</c:formatCode>
                <c:ptCount val="4"/>
                <c:pt idx="0">
                  <c:v>0.83</c:v>
                </c:pt>
                <c:pt idx="1">
                  <c:v>0.89</c:v>
                </c:pt>
                <c:pt idx="2">
                  <c:v>0.82</c:v>
                </c:pt>
                <c:pt idx="3">
                  <c:v>0.91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ACB-4A83-AC53-BE556927D6F7}"/>
            </c:ext>
          </c:extLst>
        </c:ser>
        <c:ser>
          <c:idx val="1"/>
          <c:order val="1"/>
          <c:tx>
            <c:strRef>
              <c:f>Sheet1!$A$4</c:f>
              <c:strCache>
                <c:ptCount val="1"/>
                <c:pt idx="0">
                  <c:v>Indian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4-9ACB-4A83-AC53-BE556927D6F7}"/>
              </c:ext>
            </c:extLst>
          </c:dPt>
          <c:dLbls>
            <c:dLbl>
              <c:idx val="3"/>
              <c:spPr/>
              <c:txPr>
                <a:bodyPr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4-9ACB-4A83-AC53-BE556927D6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Sheet1!$B$2:$E$2</c:f>
              <c:strCache>
                <c:ptCount val="4"/>
                <c:pt idx="0">
                  <c:v>Model 1</c:v>
                </c:pt>
                <c:pt idx="1">
                  <c:v>Model 2</c:v>
                </c:pt>
                <c:pt idx="2">
                  <c:v>Model 3</c:v>
                </c:pt>
                <c:pt idx="3">
                  <c:v>Model 4</c:v>
                </c:pt>
              </c:strCache>
            </c:strRef>
          </c:cat>
          <c:val>
            <c:numRef>
              <c:f>Sheet1!$B$4:$E$4</c:f>
              <c:numCache>
                <c:formatCode>0.00%</c:formatCode>
                <c:ptCount val="4"/>
                <c:pt idx="0">
                  <c:v>0.05</c:v>
                </c:pt>
                <c:pt idx="1">
                  <c:v>0.02</c:v>
                </c:pt>
                <c:pt idx="2">
                  <c:v>0.1</c:v>
                </c:pt>
                <c:pt idx="3">
                  <c:v>0.02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ACB-4A83-AC53-BE556927D6F7}"/>
            </c:ext>
          </c:extLst>
        </c:ser>
        <c:ser>
          <c:idx val="2"/>
          <c:order val="2"/>
          <c:tx>
            <c:strRef>
              <c:f>Sheet1!$A$5</c:f>
              <c:strCache>
                <c:ptCount val="1"/>
                <c:pt idx="0">
                  <c:v>Black</c:v>
                </c:pt>
              </c:strCache>
            </c:strRef>
          </c:tx>
          <c:spPr>
            <a:solidFill>
              <a:srgbClr val="A5A5A5"/>
            </a:solidFill>
            <a:ln>
              <a:noFill/>
            </a:ln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7-9ACB-4A83-AC53-BE556927D6F7}"/>
              </c:ext>
            </c:extLst>
          </c:dPt>
          <c:dLbls>
            <c:dLbl>
              <c:idx val="3"/>
              <c:spPr/>
              <c:txPr>
                <a:bodyPr/>
                <a:lstStyle/>
                <a:p>
                  <a:pPr>
                    <a:defRPr sz="900" b="0" strike="noStrike" spc="-1">
                      <a:solidFill>
                        <a:srgbClr val="404040"/>
                      </a:solidFill>
                      <a:latin typeface="Calibri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7-9ACB-4A83-AC53-BE556927D6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Sheet1!$B$2:$E$2</c:f>
              <c:strCache>
                <c:ptCount val="4"/>
                <c:pt idx="0">
                  <c:v>Model 1</c:v>
                </c:pt>
                <c:pt idx="1">
                  <c:v>Model 2</c:v>
                </c:pt>
                <c:pt idx="2">
                  <c:v>Model 3</c:v>
                </c:pt>
                <c:pt idx="3">
                  <c:v>Model 4</c:v>
                </c:pt>
              </c:strCache>
            </c:strRef>
          </c:cat>
          <c:val>
            <c:numRef>
              <c:f>Sheet1!$B$5:$E$5</c:f>
              <c:numCache>
                <c:formatCode>0.00%</c:formatCode>
                <c:ptCount val="4"/>
                <c:pt idx="0">
                  <c:v>7.0000000000000007E-2</c:v>
                </c:pt>
                <c:pt idx="1">
                  <c:v>0.04</c:v>
                </c:pt>
                <c:pt idx="2">
                  <c:v>0.06</c:v>
                </c:pt>
                <c:pt idx="3">
                  <c:v>0.04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ACB-4A83-AC53-BE556927D6F7}"/>
            </c:ext>
          </c:extLst>
        </c:ser>
        <c:ser>
          <c:idx val="3"/>
          <c:order val="3"/>
          <c:tx>
            <c:strRef>
              <c:f>Sheet1!$A$6</c:f>
              <c:strCache>
                <c:ptCount val="1"/>
                <c:pt idx="0">
                  <c:v>Asian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A-9ACB-4A83-AC53-BE556927D6F7}"/>
              </c:ext>
            </c:extLst>
          </c:dPt>
          <c:dLbls>
            <c:dLbl>
              <c:idx val="3"/>
              <c:spPr/>
              <c:txPr>
                <a:bodyPr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A-9ACB-4A83-AC53-BE556927D6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Sheet1!$B$2:$E$2</c:f>
              <c:strCache>
                <c:ptCount val="4"/>
                <c:pt idx="0">
                  <c:v>Model 1</c:v>
                </c:pt>
                <c:pt idx="1">
                  <c:v>Model 2</c:v>
                </c:pt>
                <c:pt idx="2">
                  <c:v>Model 3</c:v>
                </c:pt>
                <c:pt idx="3">
                  <c:v>Model 4</c:v>
                </c:pt>
              </c:strCache>
            </c:strRef>
          </c:cat>
          <c:val>
            <c:numRef>
              <c:f>Sheet1!$B$6:$E$6</c:f>
              <c:numCache>
                <c:formatCode>0.00%</c:formatCode>
                <c:ptCount val="4"/>
                <c:pt idx="0">
                  <c:v>0.05</c:v>
                </c:pt>
                <c:pt idx="1">
                  <c:v>0.05</c:v>
                </c:pt>
                <c:pt idx="2">
                  <c:v>0.02</c:v>
                </c:pt>
                <c:pt idx="3">
                  <c:v>0.03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9ACB-4A83-AC53-BE556927D6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374022"/>
        <c:axId val="11321420"/>
      </c:barChart>
      <c:catAx>
        <c:axId val="1337402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1321420"/>
        <c:crosses val="autoZero"/>
        <c:auto val="1"/>
        <c:lblAlgn val="ctr"/>
        <c:lblOffset val="100"/>
        <c:noMultiLvlLbl val="0"/>
      </c:catAx>
      <c:valAx>
        <c:axId val="11321420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3374022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7" Type="http://schemas.openxmlformats.org/officeDocument/2006/relationships/chart" Target="../charts/chart14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chart" Target="../charts/chart13.xml"/><Relationship Id="rId5" Type="http://schemas.openxmlformats.org/officeDocument/2006/relationships/chart" Target="../charts/chart12.xml"/><Relationship Id="rId4" Type="http://schemas.openxmlformats.org/officeDocument/2006/relationships/chart" Target="../charts/chart1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7" Type="http://schemas.openxmlformats.org/officeDocument/2006/relationships/chart" Target="../charts/chart21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Relationship Id="rId6" Type="http://schemas.openxmlformats.org/officeDocument/2006/relationships/chart" Target="../charts/chart20.xml"/><Relationship Id="rId5" Type="http://schemas.openxmlformats.org/officeDocument/2006/relationships/chart" Target="../charts/chart19.xml"/><Relationship Id="rId4" Type="http://schemas.openxmlformats.org/officeDocument/2006/relationships/chart" Target="../charts/chart18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73080</xdr:colOff>
      <xdr:row>0</xdr:row>
      <xdr:rowOff>93960</xdr:rowOff>
    </xdr:from>
    <xdr:to>
      <xdr:col>20</xdr:col>
      <xdr:colOff>376920</xdr:colOff>
      <xdr:row>15</xdr:row>
      <xdr:rowOff>163080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98280</xdr:colOff>
      <xdr:row>16</xdr:row>
      <xdr:rowOff>101520</xdr:rowOff>
    </xdr:from>
    <xdr:to>
      <xdr:col>20</xdr:col>
      <xdr:colOff>402120</xdr:colOff>
      <xdr:row>31</xdr:row>
      <xdr:rowOff>90720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13</xdr:col>
      <xdr:colOff>132120</xdr:colOff>
      <xdr:row>32</xdr:row>
      <xdr:rowOff>57600</xdr:rowOff>
    </xdr:from>
    <xdr:to>
      <xdr:col>20</xdr:col>
      <xdr:colOff>449280</xdr:colOff>
      <xdr:row>47</xdr:row>
      <xdr:rowOff>128520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6</xdr:col>
      <xdr:colOff>123840</xdr:colOff>
      <xdr:row>0</xdr:row>
      <xdr:rowOff>82080</xdr:rowOff>
    </xdr:from>
    <xdr:to>
      <xdr:col>13</xdr:col>
      <xdr:colOff>567360</xdr:colOff>
      <xdr:row>18</xdr:row>
      <xdr:rowOff>87120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21</xdr:col>
      <xdr:colOff>86400</xdr:colOff>
      <xdr:row>1</xdr:row>
      <xdr:rowOff>132120</xdr:rowOff>
    </xdr:from>
    <xdr:to>
      <xdr:col>28</xdr:col>
      <xdr:colOff>529560</xdr:colOff>
      <xdr:row>19</xdr:row>
      <xdr:rowOff>136800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21</xdr:col>
      <xdr:colOff>173520</xdr:colOff>
      <xdr:row>20</xdr:row>
      <xdr:rowOff>155520</xdr:rowOff>
    </xdr:from>
    <xdr:to>
      <xdr:col>28</xdr:col>
      <xdr:colOff>616680</xdr:colOff>
      <xdr:row>38</xdr:row>
      <xdr:rowOff>98280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21</xdr:col>
      <xdr:colOff>186120</xdr:colOff>
      <xdr:row>40</xdr:row>
      <xdr:rowOff>54000</xdr:rowOff>
    </xdr:from>
    <xdr:to>
      <xdr:col>28</xdr:col>
      <xdr:colOff>629280</xdr:colOff>
      <xdr:row>57</xdr:row>
      <xdr:rowOff>163080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330120</xdr:colOff>
      <xdr:row>1</xdr:row>
      <xdr:rowOff>76320</xdr:rowOff>
    </xdr:from>
    <xdr:to>
      <xdr:col>16</xdr:col>
      <xdr:colOff>38880</xdr:colOff>
      <xdr:row>16</xdr:row>
      <xdr:rowOff>79200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410760</xdr:colOff>
      <xdr:row>19</xdr:row>
      <xdr:rowOff>83520</xdr:rowOff>
    </xdr:from>
    <xdr:to>
      <xdr:col>16</xdr:col>
      <xdr:colOff>119520</xdr:colOff>
      <xdr:row>34</xdr:row>
      <xdr:rowOff>121680</xdr:rowOff>
    </xdr:to>
    <xdr:graphicFrame macro="">
      <xdr:nvGraphicFramePr>
        <xdr:cNvPr id="8" name="Chart 2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469440</xdr:colOff>
      <xdr:row>35</xdr:row>
      <xdr:rowOff>113040</xdr:rowOff>
    </xdr:from>
    <xdr:to>
      <xdr:col>16</xdr:col>
      <xdr:colOff>178200</xdr:colOff>
      <xdr:row>50</xdr:row>
      <xdr:rowOff>107280</xdr:rowOff>
    </xdr:to>
    <xdr:graphicFrame macro="">
      <xdr:nvGraphicFramePr>
        <xdr:cNvPr id="9" name="Chart 3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16</xdr:col>
      <xdr:colOff>206640</xdr:colOff>
      <xdr:row>1</xdr:row>
      <xdr:rowOff>54720</xdr:rowOff>
    </xdr:from>
    <xdr:to>
      <xdr:col>24</xdr:col>
      <xdr:colOff>4105</xdr:colOff>
      <xdr:row>18</xdr:row>
      <xdr:rowOff>172440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16</xdr:col>
      <xdr:colOff>186120</xdr:colOff>
      <xdr:row>19</xdr:row>
      <xdr:rowOff>170280</xdr:rowOff>
    </xdr:from>
    <xdr:to>
      <xdr:col>24</xdr:col>
      <xdr:colOff>2635</xdr:colOff>
      <xdr:row>37</xdr:row>
      <xdr:rowOff>139680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16</xdr:col>
      <xdr:colOff>285840</xdr:colOff>
      <xdr:row>39</xdr:row>
      <xdr:rowOff>59400</xdr:rowOff>
    </xdr:from>
    <xdr:to>
      <xdr:col>24</xdr:col>
      <xdr:colOff>755</xdr:colOff>
      <xdr:row>56</xdr:row>
      <xdr:rowOff>168480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5</xdr:col>
      <xdr:colOff>36360</xdr:colOff>
      <xdr:row>27</xdr:row>
      <xdr:rowOff>62640</xdr:rowOff>
    </xdr:from>
    <xdr:to>
      <xdr:col>12</xdr:col>
      <xdr:colOff>479880</xdr:colOff>
      <xdr:row>45</xdr:row>
      <xdr:rowOff>23400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320040</xdr:colOff>
      <xdr:row>1</xdr:row>
      <xdr:rowOff>0</xdr:rowOff>
    </xdr:from>
    <xdr:to>
      <xdr:col>34</xdr:col>
      <xdr:colOff>236880</xdr:colOff>
      <xdr:row>24</xdr:row>
      <xdr:rowOff>97920</xdr:rowOff>
    </xdr:to>
    <xdr:graphicFrame macro="">
      <xdr:nvGraphicFramePr>
        <xdr:cNvPr id="14" name="Chart 1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19</xdr:col>
      <xdr:colOff>320040</xdr:colOff>
      <xdr:row>26</xdr:row>
      <xdr:rowOff>72720</xdr:rowOff>
    </xdr:from>
    <xdr:to>
      <xdr:col>34</xdr:col>
      <xdr:colOff>233640</xdr:colOff>
      <xdr:row>48</xdr:row>
      <xdr:rowOff>158040</xdr:rowOff>
    </xdr:to>
    <xdr:graphicFrame macro="">
      <xdr:nvGraphicFramePr>
        <xdr:cNvPr id="15" name="Chart 2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19</xdr:col>
      <xdr:colOff>334800</xdr:colOff>
      <xdr:row>49</xdr:row>
      <xdr:rowOff>101160</xdr:rowOff>
    </xdr:from>
    <xdr:to>
      <xdr:col>34</xdr:col>
      <xdr:colOff>279360</xdr:colOff>
      <xdr:row>71</xdr:row>
      <xdr:rowOff>94680</xdr:rowOff>
    </xdr:to>
    <xdr:graphicFrame macro="">
      <xdr:nvGraphicFramePr>
        <xdr:cNvPr id="16" name="Chart 3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36360</xdr:colOff>
      <xdr:row>73</xdr:row>
      <xdr:rowOff>62640</xdr:rowOff>
    </xdr:from>
    <xdr:to>
      <xdr:col>12</xdr:col>
      <xdr:colOff>479880</xdr:colOff>
      <xdr:row>91</xdr:row>
      <xdr:rowOff>23040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5</xdr:col>
      <xdr:colOff>36360</xdr:colOff>
      <xdr:row>0</xdr:row>
      <xdr:rowOff>36000</xdr:rowOff>
    </xdr:from>
    <xdr:to>
      <xdr:col>12</xdr:col>
      <xdr:colOff>479880</xdr:colOff>
      <xdr:row>17</xdr:row>
      <xdr:rowOff>154080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5</xdr:col>
      <xdr:colOff>36360</xdr:colOff>
      <xdr:row>26</xdr:row>
      <xdr:rowOff>44640</xdr:rowOff>
    </xdr:from>
    <xdr:to>
      <xdr:col>12</xdr:col>
      <xdr:colOff>479880</xdr:colOff>
      <xdr:row>43</xdr:row>
      <xdr:rowOff>162720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5</xdr:col>
      <xdr:colOff>36360</xdr:colOff>
      <xdr:row>56</xdr:row>
      <xdr:rowOff>132480</xdr:rowOff>
    </xdr:from>
    <xdr:to>
      <xdr:col>12</xdr:col>
      <xdr:colOff>479880</xdr:colOff>
      <xdr:row>74</xdr:row>
      <xdr:rowOff>75240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441360</xdr:colOff>
      <xdr:row>1</xdr:row>
      <xdr:rowOff>25560</xdr:rowOff>
    </xdr:from>
    <xdr:to>
      <xdr:col>13</xdr:col>
      <xdr:colOff>135000</xdr:colOff>
      <xdr:row>16</xdr:row>
      <xdr:rowOff>5040</xdr:rowOff>
    </xdr:to>
    <xdr:graphicFrame macro="">
      <xdr:nvGraphicFramePr>
        <xdr:cNvPr id="21" name="Chart 1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0"/>
  <sheetViews>
    <sheetView zoomScale="95" zoomScaleNormal="95" workbookViewId="0">
      <selection activeCell="H32" sqref="H32"/>
    </sheetView>
  </sheetViews>
  <sheetFormatPr defaultColWidth="8.54296875" defaultRowHeight="14.5" x14ac:dyDescent="0.35"/>
  <sheetData>
    <row r="1" spans="1:6" x14ac:dyDescent="0.35">
      <c r="B1" t="s">
        <v>0</v>
      </c>
      <c r="C1" t="s">
        <v>1</v>
      </c>
      <c r="D1" t="s">
        <v>2</v>
      </c>
      <c r="E1" t="s">
        <v>3</v>
      </c>
    </row>
    <row r="2" spans="1:6" x14ac:dyDescent="0.35">
      <c r="A2" t="s">
        <v>4</v>
      </c>
      <c r="B2">
        <v>91</v>
      </c>
      <c r="C2">
        <v>82</v>
      </c>
      <c r="D2">
        <v>89</v>
      </c>
      <c r="E2">
        <v>83</v>
      </c>
      <c r="F2">
        <v>0.83</v>
      </c>
    </row>
    <row r="3" spans="1:6" x14ac:dyDescent="0.35">
      <c r="A3" t="s">
        <v>5</v>
      </c>
      <c r="B3">
        <v>3</v>
      </c>
      <c r="C3">
        <v>2</v>
      </c>
      <c r="D3">
        <v>5</v>
      </c>
      <c r="E3">
        <v>5</v>
      </c>
      <c r="F3">
        <v>0.05</v>
      </c>
    </row>
    <row r="4" spans="1:6" x14ac:dyDescent="0.35">
      <c r="A4" t="s">
        <v>6</v>
      </c>
      <c r="B4">
        <v>4</v>
      </c>
      <c r="C4">
        <v>6</v>
      </c>
      <c r="D4">
        <v>4</v>
      </c>
      <c r="E4">
        <v>7</v>
      </c>
      <c r="F4">
        <v>7.0000000000000007E-2</v>
      </c>
    </row>
    <row r="5" spans="1:6" x14ac:dyDescent="0.35">
      <c r="A5" t="s">
        <v>7</v>
      </c>
      <c r="B5">
        <v>2</v>
      </c>
      <c r="C5">
        <v>10</v>
      </c>
      <c r="D5">
        <v>2</v>
      </c>
      <c r="E5">
        <v>5</v>
      </c>
      <c r="F5">
        <v>0.05</v>
      </c>
    </row>
    <row r="6" spans="1:6" x14ac:dyDescent="0.35">
      <c r="A6" t="s">
        <v>8</v>
      </c>
      <c r="B6">
        <f>_xlfn.STDEV.P(B2:B5)</f>
        <v>38.11167800031901</v>
      </c>
      <c r="C6">
        <f>_xlfn.STDEV.P(C2:C5)</f>
        <v>33.030289129827487</v>
      </c>
      <c r="D6">
        <f>_xlfn.STDEV.P(D2:D5)</f>
        <v>36.966200778549045</v>
      </c>
      <c r="E6">
        <f>_xlfn.STDEV.P(E2:E5)</f>
        <v>33.496268448888451</v>
      </c>
      <c r="F6">
        <f>_xlfn.STDEV.P(F2:F5)</f>
        <v>0.3349626844888845</v>
      </c>
    </row>
    <row r="9" spans="1:6" x14ac:dyDescent="0.35">
      <c r="B9" t="s">
        <v>9</v>
      </c>
      <c r="C9" t="s">
        <v>2</v>
      </c>
      <c r="D9" t="s">
        <v>1</v>
      </c>
      <c r="E9" t="s">
        <v>0</v>
      </c>
    </row>
    <row r="10" spans="1:6" x14ac:dyDescent="0.35">
      <c r="A10" t="s">
        <v>10</v>
      </c>
      <c r="B10">
        <v>0.33</v>
      </c>
      <c r="C10">
        <v>0.37</v>
      </c>
      <c r="D10">
        <v>0.33</v>
      </c>
      <c r="E10">
        <v>0.38</v>
      </c>
    </row>
    <row r="11" spans="1:6" x14ac:dyDescent="0.35">
      <c r="A11" t="s">
        <v>11</v>
      </c>
      <c r="B11">
        <v>0.08</v>
      </c>
      <c r="C11">
        <v>0.18</v>
      </c>
      <c r="D11">
        <v>0.12</v>
      </c>
      <c r="E11" t="s">
        <v>12</v>
      </c>
    </row>
    <row r="12" spans="1:6" x14ac:dyDescent="0.35">
      <c r="A12" t="s">
        <v>13</v>
      </c>
      <c r="B12">
        <v>0</v>
      </c>
      <c r="C12">
        <v>0.11</v>
      </c>
      <c r="D12">
        <v>0.06</v>
      </c>
      <c r="E12" t="s">
        <v>12</v>
      </c>
    </row>
    <row r="19" spans="1:5" x14ac:dyDescent="0.35">
      <c r="B19" t="s">
        <v>0</v>
      </c>
      <c r="C19" t="s">
        <v>1</v>
      </c>
      <c r="D19" t="s">
        <v>2</v>
      </c>
      <c r="E19" t="s">
        <v>3</v>
      </c>
    </row>
    <row r="20" spans="1:5" x14ac:dyDescent="0.35">
      <c r="A20" t="s">
        <v>4</v>
      </c>
      <c r="B20">
        <v>0</v>
      </c>
      <c r="C20">
        <v>24</v>
      </c>
      <c r="D20">
        <v>51</v>
      </c>
      <c r="E20">
        <v>34</v>
      </c>
    </row>
    <row r="21" spans="1:5" x14ac:dyDescent="0.35">
      <c r="A21" t="s">
        <v>5</v>
      </c>
      <c r="B21">
        <v>0</v>
      </c>
      <c r="C21">
        <v>19</v>
      </c>
      <c r="D21">
        <v>33</v>
      </c>
      <c r="E21">
        <v>31</v>
      </c>
    </row>
    <row r="22" spans="1:5" x14ac:dyDescent="0.35">
      <c r="A22" t="s">
        <v>6</v>
      </c>
      <c r="B22">
        <v>0</v>
      </c>
      <c r="C22">
        <v>13</v>
      </c>
      <c r="D22">
        <v>7</v>
      </c>
      <c r="E22">
        <v>15</v>
      </c>
    </row>
    <row r="23" spans="1:5" x14ac:dyDescent="0.35">
      <c r="A23" t="s">
        <v>7</v>
      </c>
      <c r="B23">
        <v>0</v>
      </c>
      <c r="C23">
        <v>44</v>
      </c>
      <c r="D23">
        <v>9</v>
      </c>
      <c r="E23">
        <v>20</v>
      </c>
    </row>
    <row r="24" spans="1:5" x14ac:dyDescent="0.35">
      <c r="A24" t="s">
        <v>8</v>
      </c>
      <c r="C24">
        <f>_xlfn.STDEV.P(C20:C23)</f>
        <v>11.640446726822816</v>
      </c>
      <c r="D24">
        <f>_xlfn.STDEV.P(D20:D23)</f>
        <v>18.165902124584949</v>
      </c>
      <c r="E24">
        <f>_xlfn.STDEV.P(E20:E23)</f>
        <v>7.7781745930520225</v>
      </c>
    </row>
    <row r="35" spans="1:5" x14ac:dyDescent="0.35">
      <c r="B35" t="s">
        <v>0</v>
      </c>
      <c r="C35" t="s">
        <v>1</v>
      </c>
      <c r="D35" t="s">
        <v>2</v>
      </c>
      <c r="E35" t="s">
        <v>3</v>
      </c>
    </row>
    <row r="36" spans="1:5" x14ac:dyDescent="0.35">
      <c r="A36" t="s">
        <v>4</v>
      </c>
      <c r="B36">
        <v>0</v>
      </c>
      <c r="C36">
        <v>22</v>
      </c>
      <c r="D36">
        <v>42</v>
      </c>
      <c r="E36">
        <v>25</v>
      </c>
    </row>
    <row r="37" spans="1:5" x14ac:dyDescent="0.35">
      <c r="A37" t="s">
        <v>5</v>
      </c>
      <c r="B37">
        <v>0</v>
      </c>
      <c r="C37">
        <v>24</v>
      </c>
      <c r="D37">
        <v>27</v>
      </c>
      <c r="E37">
        <v>25</v>
      </c>
    </row>
    <row r="38" spans="1:5" x14ac:dyDescent="0.35">
      <c r="A38" t="s">
        <v>6</v>
      </c>
      <c r="B38">
        <v>0</v>
      </c>
      <c r="C38">
        <v>19</v>
      </c>
      <c r="D38">
        <v>16</v>
      </c>
      <c r="E38">
        <v>25</v>
      </c>
    </row>
    <row r="39" spans="1:5" x14ac:dyDescent="0.35">
      <c r="A39" t="s">
        <v>7</v>
      </c>
      <c r="B39">
        <v>0</v>
      </c>
      <c r="C39">
        <v>35</v>
      </c>
      <c r="D39">
        <v>15</v>
      </c>
      <c r="E39">
        <v>25</v>
      </c>
    </row>
    <row r="40" spans="1:5" x14ac:dyDescent="0.35">
      <c r="A40" t="s">
        <v>8</v>
      </c>
      <c r="C40">
        <f>_xlfn.STDEV.P(C36:C39)</f>
        <v>6.0415229867972862</v>
      </c>
      <c r="D40">
        <f>_xlfn.STDEV.P(D36:D39)</f>
        <v>10.88577052853862</v>
      </c>
      <c r="E40">
        <f>_xlfn.STDEV.P(E36:E39)</f>
        <v>0</v>
      </c>
    </row>
  </sheetData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1"/>
  <sheetViews>
    <sheetView tabSelected="1" topLeftCell="A28" zoomScale="95" zoomScaleNormal="95" workbookViewId="0">
      <selection activeCell="C24" sqref="C24"/>
    </sheetView>
  </sheetViews>
  <sheetFormatPr defaultColWidth="8.54296875" defaultRowHeight="14.5" x14ac:dyDescent="0.35"/>
  <sheetData>
    <row r="1" spans="1:5" x14ac:dyDescent="0.35">
      <c r="B1" t="s">
        <v>0</v>
      </c>
      <c r="C1" t="s">
        <v>1</v>
      </c>
      <c r="D1" t="s">
        <v>2</v>
      </c>
      <c r="E1" t="s">
        <v>3</v>
      </c>
    </row>
    <row r="2" spans="1:5" x14ac:dyDescent="0.35">
      <c r="A2" t="s">
        <v>14</v>
      </c>
      <c r="B2">
        <v>34</v>
      </c>
      <c r="C2">
        <v>31</v>
      </c>
      <c r="D2">
        <v>29</v>
      </c>
      <c r="E2">
        <v>36</v>
      </c>
    </row>
    <row r="3" spans="1:5" x14ac:dyDescent="0.35">
      <c r="A3" t="s">
        <v>15</v>
      </c>
      <c r="B3">
        <v>66</v>
      </c>
      <c r="C3">
        <v>69</v>
      </c>
      <c r="D3">
        <v>71</v>
      </c>
      <c r="E3">
        <v>64</v>
      </c>
    </row>
    <row r="4" spans="1:5" x14ac:dyDescent="0.35">
      <c r="B4">
        <f>_xlfn.STDEV.P(B2:B3)</f>
        <v>16</v>
      </c>
      <c r="C4">
        <f>_xlfn.STDEV.P(C2:C3)</f>
        <v>19</v>
      </c>
      <c r="D4">
        <f>_xlfn.STDEV.P(D2:D3)</f>
        <v>21</v>
      </c>
      <c r="E4">
        <f>_xlfn.STDEV.P(E2:E3)</f>
        <v>14</v>
      </c>
    </row>
    <row r="11" spans="1:5" x14ac:dyDescent="0.35">
      <c r="B11" t="s">
        <v>0</v>
      </c>
      <c r="C11" t="s">
        <v>1</v>
      </c>
      <c r="D11" t="s">
        <v>2</v>
      </c>
      <c r="E11" t="s">
        <v>3</v>
      </c>
    </row>
    <row r="12" spans="1:5" x14ac:dyDescent="0.35">
      <c r="A12" t="s">
        <v>14</v>
      </c>
      <c r="B12">
        <v>0</v>
      </c>
      <c r="C12">
        <v>44</v>
      </c>
      <c r="D12">
        <v>42</v>
      </c>
      <c r="E12">
        <v>54</v>
      </c>
    </row>
    <row r="13" spans="1:5" x14ac:dyDescent="0.35">
      <c r="A13" t="s">
        <v>15</v>
      </c>
      <c r="B13">
        <v>0</v>
      </c>
      <c r="C13">
        <v>56</v>
      </c>
      <c r="D13">
        <v>58</v>
      </c>
      <c r="E13">
        <v>46</v>
      </c>
    </row>
    <row r="14" spans="1:5" x14ac:dyDescent="0.35">
      <c r="C14">
        <f>_xlfn.STDEV.P(C12:C13)</f>
        <v>6</v>
      </c>
      <c r="D14">
        <f>_xlfn.STDEV.P(D12:D13)</f>
        <v>8</v>
      </c>
      <c r="E14">
        <f>_xlfn.STDEV.P(E12:E13)</f>
        <v>4</v>
      </c>
    </row>
    <row r="20" spans="1:5" x14ac:dyDescent="0.35">
      <c r="B20" t="s">
        <v>0</v>
      </c>
      <c r="C20" t="s">
        <v>1</v>
      </c>
      <c r="D20" t="s">
        <v>2</v>
      </c>
      <c r="E20" t="s">
        <v>3</v>
      </c>
    </row>
    <row r="21" spans="1:5" x14ac:dyDescent="0.35">
      <c r="A21" t="s">
        <v>14</v>
      </c>
      <c r="B21">
        <v>0</v>
      </c>
      <c r="C21">
        <v>43</v>
      </c>
      <c r="D21">
        <v>44</v>
      </c>
      <c r="E21">
        <v>50</v>
      </c>
    </row>
    <row r="22" spans="1:5" x14ac:dyDescent="0.35">
      <c r="A22" t="s">
        <v>15</v>
      </c>
      <c r="B22">
        <v>0</v>
      </c>
      <c r="C22">
        <v>57</v>
      </c>
      <c r="D22">
        <v>56</v>
      </c>
      <c r="E22">
        <v>50</v>
      </c>
    </row>
    <row r="23" spans="1:5" x14ac:dyDescent="0.35">
      <c r="C23">
        <f>_xlfn.STDEV.P(C21:C22)</f>
        <v>7</v>
      </c>
      <c r="D23">
        <f>_xlfn.STDEV.P(D21:D22)</f>
        <v>6</v>
      </c>
      <c r="E23">
        <f>_xlfn.STDEV.P(E21:E22)</f>
        <v>0</v>
      </c>
    </row>
    <row r="28" spans="1:5" x14ac:dyDescent="0.35">
      <c r="B28" t="s">
        <v>9</v>
      </c>
      <c r="C28" t="s">
        <v>2</v>
      </c>
      <c r="D28" t="s">
        <v>1</v>
      </c>
      <c r="E28" t="s">
        <v>0</v>
      </c>
    </row>
    <row r="29" spans="1:5" x14ac:dyDescent="0.35">
      <c r="A29" t="s">
        <v>10</v>
      </c>
      <c r="B29">
        <v>0.14000000000000001</v>
      </c>
      <c r="C29">
        <v>0.21</v>
      </c>
      <c r="D29">
        <v>0.19</v>
      </c>
      <c r="E29">
        <v>0.16</v>
      </c>
    </row>
    <row r="30" spans="1:5" x14ac:dyDescent="0.35">
      <c r="A30" t="s">
        <v>11</v>
      </c>
      <c r="B30">
        <v>0.04</v>
      </c>
      <c r="C30">
        <v>0.08</v>
      </c>
      <c r="D30">
        <v>0.06</v>
      </c>
      <c r="E30" t="s">
        <v>12</v>
      </c>
    </row>
    <row r="31" spans="1:5" x14ac:dyDescent="0.35">
      <c r="A31" t="s">
        <v>13</v>
      </c>
      <c r="B31">
        <v>0</v>
      </c>
      <c r="C31">
        <v>0.06</v>
      </c>
      <c r="D31">
        <v>7.0000000000000007E-2</v>
      </c>
      <c r="E31" t="s">
        <v>12</v>
      </c>
    </row>
  </sheetData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77"/>
  <sheetViews>
    <sheetView topLeftCell="A19" zoomScale="95" zoomScaleNormal="95" workbookViewId="0">
      <selection activeCell="R78" sqref="R78"/>
    </sheetView>
  </sheetViews>
  <sheetFormatPr defaultColWidth="8.54296875" defaultRowHeight="14.5" x14ac:dyDescent="0.35"/>
  <sheetData>
    <row r="1" spans="1:5" x14ac:dyDescent="0.35">
      <c r="B1" t="s">
        <v>0</v>
      </c>
      <c r="C1" t="s">
        <v>1</v>
      </c>
      <c r="D1" t="s">
        <v>2</v>
      </c>
      <c r="E1" t="s">
        <v>3</v>
      </c>
    </row>
    <row r="2" spans="1:5" x14ac:dyDescent="0.35">
      <c r="A2" t="s">
        <v>16</v>
      </c>
      <c r="B2">
        <v>3</v>
      </c>
      <c r="C2">
        <v>1</v>
      </c>
      <c r="D2">
        <v>3</v>
      </c>
      <c r="E2">
        <v>3</v>
      </c>
    </row>
    <row r="3" spans="1:5" x14ac:dyDescent="0.35">
      <c r="A3" t="s">
        <v>17</v>
      </c>
      <c r="B3">
        <v>67</v>
      </c>
      <c r="C3">
        <v>60</v>
      </c>
      <c r="D3">
        <v>80</v>
      </c>
      <c r="E3">
        <v>61</v>
      </c>
    </row>
    <row r="4" spans="1:5" x14ac:dyDescent="0.35">
      <c r="A4" t="s">
        <v>18</v>
      </c>
      <c r="B4">
        <v>16</v>
      </c>
      <c r="C4">
        <v>28</v>
      </c>
      <c r="D4">
        <v>14</v>
      </c>
      <c r="E4">
        <v>21</v>
      </c>
    </row>
    <row r="5" spans="1:5" x14ac:dyDescent="0.35">
      <c r="A5" t="s">
        <v>19</v>
      </c>
      <c r="B5">
        <v>7</v>
      </c>
      <c r="C5">
        <v>6</v>
      </c>
      <c r="D5">
        <v>2</v>
      </c>
      <c r="E5">
        <v>7</v>
      </c>
    </row>
    <row r="6" spans="1:5" x14ac:dyDescent="0.35">
      <c r="A6" t="s">
        <v>20</v>
      </c>
      <c r="B6">
        <v>5</v>
      </c>
      <c r="C6">
        <v>4</v>
      </c>
      <c r="D6">
        <v>1</v>
      </c>
      <c r="E6">
        <v>5</v>
      </c>
    </row>
    <row r="7" spans="1:5" x14ac:dyDescent="0.35">
      <c r="A7" t="s">
        <v>21</v>
      </c>
      <c r="B7">
        <v>2</v>
      </c>
      <c r="C7">
        <v>1</v>
      </c>
      <c r="D7">
        <v>0</v>
      </c>
      <c r="E7">
        <v>2</v>
      </c>
    </row>
    <row r="8" spans="1:5" x14ac:dyDescent="0.35">
      <c r="A8" t="s">
        <v>22</v>
      </c>
      <c r="B8">
        <v>0</v>
      </c>
      <c r="C8">
        <v>0</v>
      </c>
      <c r="D8">
        <v>0</v>
      </c>
      <c r="E8">
        <v>1</v>
      </c>
    </row>
    <row r="9" spans="1:5" x14ac:dyDescent="0.35">
      <c r="B9">
        <f>_xlfn.STDEV.P(B2:B8)</f>
        <v>22.050035864656845</v>
      </c>
      <c r="C9">
        <f>_xlfn.STDEV.P(C2:C8)</f>
        <v>20.734472921850191</v>
      </c>
      <c r="D9">
        <f>_xlfn.STDEV.P(D2:D8)</f>
        <v>27.206691853892362</v>
      </c>
      <c r="E9">
        <f>_xlfn.STDEV.P(E2:E8)</f>
        <v>20.076384746507422</v>
      </c>
    </row>
    <row r="27" spans="1:5" x14ac:dyDescent="0.35">
      <c r="B27" t="s">
        <v>0</v>
      </c>
      <c r="C27" t="s">
        <v>1</v>
      </c>
      <c r="D27" t="s">
        <v>2</v>
      </c>
      <c r="E27" t="s">
        <v>3</v>
      </c>
    </row>
    <row r="28" spans="1:5" x14ac:dyDescent="0.35">
      <c r="A28" t="s">
        <v>23</v>
      </c>
      <c r="B28">
        <v>0</v>
      </c>
      <c r="C28">
        <v>0</v>
      </c>
      <c r="D28">
        <v>1</v>
      </c>
      <c r="E28">
        <v>2</v>
      </c>
    </row>
    <row r="29" spans="1:5" x14ac:dyDescent="0.35">
      <c r="A29" t="s">
        <v>24</v>
      </c>
      <c r="B29">
        <v>0</v>
      </c>
      <c r="C29">
        <v>11</v>
      </c>
      <c r="D29">
        <v>12</v>
      </c>
      <c r="E29">
        <v>13</v>
      </c>
    </row>
    <row r="30" spans="1:5" x14ac:dyDescent="0.35">
      <c r="A30" t="s">
        <v>16</v>
      </c>
      <c r="B30">
        <v>0</v>
      </c>
      <c r="C30">
        <v>8</v>
      </c>
      <c r="D30">
        <v>19</v>
      </c>
      <c r="E30">
        <v>8</v>
      </c>
    </row>
    <row r="31" spans="1:5" x14ac:dyDescent="0.35">
      <c r="A31" t="s">
        <v>17</v>
      </c>
      <c r="B31">
        <v>0</v>
      </c>
      <c r="C31">
        <v>49</v>
      </c>
      <c r="D31">
        <v>45</v>
      </c>
      <c r="E31">
        <v>35</v>
      </c>
    </row>
    <row r="32" spans="1:5" x14ac:dyDescent="0.35">
      <c r="A32" t="s">
        <v>18</v>
      </c>
      <c r="B32">
        <v>0</v>
      </c>
      <c r="C32">
        <v>25</v>
      </c>
      <c r="D32">
        <v>16</v>
      </c>
      <c r="E32">
        <v>21</v>
      </c>
    </row>
    <row r="33" spans="1:5" x14ac:dyDescent="0.35">
      <c r="A33" t="s">
        <v>19</v>
      </c>
      <c r="B33">
        <v>0</v>
      </c>
      <c r="C33">
        <v>6</v>
      </c>
      <c r="D33">
        <v>6</v>
      </c>
      <c r="E33">
        <v>11</v>
      </c>
    </row>
    <row r="34" spans="1:5" x14ac:dyDescent="0.35">
      <c r="A34" t="s">
        <v>20</v>
      </c>
      <c r="B34">
        <v>0</v>
      </c>
      <c r="C34">
        <v>1</v>
      </c>
      <c r="D34">
        <v>1</v>
      </c>
      <c r="E34">
        <v>7</v>
      </c>
    </row>
    <row r="35" spans="1:5" x14ac:dyDescent="0.35">
      <c r="A35" t="s">
        <v>21</v>
      </c>
      <c r="B35">
        <v>0</v>
      </c>
      <c r="C35">
        <v>0</v>
      </c>
      <c r="D35">
        <v>0</v>
      </c>
      <c r="E35">
        <v>2</v>
      </c>
    </row>
    <row r="36" spans="1:5" x14ac:dyDescent="0.35">
      <c r="A36" t="s">
        <v>22</v>
      </c>
      <c r="B36">
        <v>0</v>
      </c>
      <c r="C36">
        <v>0</v>
      </c>
      <c r="D36">
        <v>0</v>
      </c>
      <c r="E36">
        <v>1</v>
      </c>
    </row>
    <row r="37" spans="1:5" x14ac:dyDescent="0.35">
      <c r="B37">
        <f>_xlfn.STDEV.P(B28:B36)</f>
        <v>0</v>
      </c>
      <c r="C37">
        <f>_xlfn.STDEV.P(C28:C36)</f>
        <v>15.408831842986414</v>
      </c>
      <c r="D37">
        <f>_xlfn.STDEV.P(D28:D36)</f>
        <v>13.79568728459445</v>
      </c>
      <c r="E37">
        <f>_xlfn.STDEV.P(E28:E36)</f>
        <v>10.364945671127858</v>
      </c>
    </row>
    <row r="58" spans="1:5" x14ac:dyDescent="0.35">
      <c r="B58" t="s">
        <v>0</v>
      </c>
      <c r="C58" t="s">
        <v>1</v>
      </c>
      <c r="D58" t="s">
        <v>2</v>
      </c>
      <c r="E58" t="s">
        <v>3</v>
      </c>
    </row>
    <row r="59" spans="1:5" x14ac:dyDescent="0.35">
      <c r="A59" t="s">
        <v>23</v>
      </c>
      <c r="B59">
        <v>0</v>
      </c>
      <c r="C59">
        <v>2</v>
      </c>
      <c r="D59">
        <v>1</v>
      </c>
      <c r="E59">
        <v>2</v>
      </c>
    </row>
    <row r="60" spans="1:5" x14ac:dyDescent="0.35">
      <c r="A60" t="s">
        <v>24</v>
      </c>
      <c r="B60">
        <v>0</v>
      </c>
      <c r="C60">
        <v>13</v>
      </c>
      <c r="D60">
        <v>12</v>
      </c>
      <c r="E60">
        <v>14</v>
      </c>
    </row>
    <row r="61" spans="1:5" x14ac:dyDescent="0.35">
      <c r="A61" t="s">
        <v>16</v>
      </c>
      <c r="B61">
        <v>0</v>
      </c>
      <c r="C61">
        <v>8</v>
      </c>
      <c r="D61">
        <v>13</v>
      </c>
      <c r="E61">
        <v>9</v>
      </c>
    </row>
    <row r="62" spans="1:5" x14ac:dyDescent="0.35">
      <c r="A62" t="s">
        <v>17</v>
      </c>
      <c r="B62">
        <v>0</v>
      </c>
      <c r="C62">
        <v>39</v>
      </c>
      <c r="D62">
        <v>39</v>
      </c>
      <c r="E62">
        <v>34</v>
      </c>
    </row>
    <row r="63" spans="1:5" x14ac:dyDescent="0.35">
      <c r="A63" t="s">
        <v>18</v>
      </c>
      <c r="B63">
        <v>0</v>
      </c>
      <c r="C63">
        <v>25</v>
      </c>
      <c r="D63">
        <v>21</v>
      </c>
      <c r="E63">
        <v>21</v>
      </c>
    </row>
    <row r="64" spans="1:5" x14ac:dyDescent="0.35">
      <c r="A64" t="s">
        <v>19</v>
      </c>
      <c r="B64">
        <v>0</v>
      </c>
      <c r="C64">
        <v>9</v>
      </c>
      <c r="D64">
        <v>9</v>
      </c>
      <c r="E64">
        <v>11</v>
      </c>
    </row>
    <row r="65" spans="1:5" x14ac:dyDescent="0.35">
      <c r="A65" t="s">
        <v>20</v>
      </c>
      <c r="B65">
        <v>0</v>
      </c>
      <c r="C65">
        <v>3</v>
      </c>
      <c r="D65">
        <v>4</v>
      </c>
      <c r="E65">
        <v>6</v>
      </c>
    </row>
    <row r="66" spans="1:5" x14ac:dyDescent="0.35">
      <c r="A66" t="s">
        <v>21</v>
      </c>
      <c r="B66">
        <v>0</v>
      </c>
      <c r="C66">
        <v>1</v>
      </c>
      <c r="D66">
        <v>1</v>
      </c>
      <c r="E66">
        <v>2</v>
      </c>
    </row>
    <row r="67" spans="1:5" x14ac:dyDescent="0.35">
      <c r="A67" t="s">
        <v>22</v>
      </c>
      <c r="B67">
        <v>0</v>
      </c>
      <c r="C67">
        <v>0</v>
      </c>
      <c r="D67">
        <v>0</v>
      </c>
      <c r="E67">
        <v>1</v>
      </c>
    </row>
    <row r="68" spans="1:5" x14ac:dyDescent="0.35">
      <c r="C68">
        <f>_xlfn.STDEV.P(C59:C67)</f>
        <v>12.305775016854165</v>
      </c>
      <c r="D68">
        <f>_xlfn.STDEV.P(D59:D67)</f>
        <v>11.845716004291214</v>
      </c>
      <c r="E68">
        <f>_xlfn.STDEV.P(E59:E67)</f>
        <v>10.159226178366632</v>
      </c>
    </row>
    <row r="74" spans="1:5" x14ac:dyDescent="0.35">
      <c r="B74" t="s">
        <v>9</v>
      </c>
      <c r="C74" t="s">
        <v>2</v>
      </c>
      <c r="D74" t="s">
        <v>1</v>
      </c>
      <c r="E74" t="s">
        <v>0</v>
      </c>
    </row>
    <row r="75" spans="1:5" x14ac:dyDescent="0.35">
      <c r="A75" t="s">
        <v>10</v>
      </c>
      <c r="B75">
        <v>0.2</v>
      </c>
      <c r="C75">
        <v>0.27</v>
      </c>
      <c r="D75">
        <v>0.21</v>
      </c>
      <c r="E75">
        <v>0.22</v>
      </c>
    </row>
    <row r="76" spans="1:5" x14ac:dyDescent="0.35">
      <c r="A76" t="s">
        <v>11</v>
      </c>
      <c r="B76">
        <v>0.1</v>
      </c>
      <c r="C76">
        <v>0.14000000000000001</v>
      </c>
      <c r="D76">
        <v>0.15</v>
      </c>
      <c r="E76" t="s">
        <v>12</v>
      </c>
    </row>
    <row r="77" spans="1:5" x14ac:dyDescent="0.35">
      <c r="A77" t="s">
        <v>13</v>
      </c>
      <c r="B77">
        <v>0.1</v>
      </c>
      <c r="C77">
        <v>0.12</v>
      </c>
      <c r="D77">
        <v>0.12</v>
      </c>
      <c r="E77" t="s">
        <v>12</v>
      </c>
    </row>
  </sheetData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E6"/>
  <sheetViews>
    <sheetView zoomScale="95" zoomScaleNormal="95" workbookViewId="0">
      <selection activeCell="E19" sqref="E19"/>
    </sheetView>
  </sheetViews>
  <sheetFormatPr defaultColWidth="8.54296875" defaultRowHeight="14.5" x14ac:dyDescent="0.35"/>
  <sheetData>
    <row r="2" spans="1:5" x14ac:dyDescent="0.35">
      <c r="B2" t="s">
        <v>25</v>
      </c>
      <c r="C2" t="s">
        <v>26</v>
      </c>
      <c r="D2" t="s">
        <v>27</v>
      </c>
      <c r="E2" t="s">
        <v>28</v>
      </c>
    </row>
    <row r="3" spans="1:5" x14ac:dyDescent="0.35">
      <c r="A3" t="s">
        <v>4</v>
      </c>
      <c r="B3" s="1">
        <v>0.83</v>
      </c>
      <c r="C3" s="1">
        <v>0.89</v>
      </c>
      <c r="D3" s="1">
        <v>0.82</v>
      </c>
      <c r="E3" s="1">
        <v>0.91</v>
      </c>
    </row>
    <row r="4" spans="1:5" x14ac:dyDescent="0.35">
      <c r="A4" t="s">
        <v>7</v>
      </c>
      <c r="B4" s="1">
        <v>0.05</v>
      </c>
      <c r="C4" s="1">
        <v>0.02</v>
      </c>
      <c r="D4" s="1">
        <v>0.1</v>
      </c>
      <c r="E4" s="1">
        <v>0.02</v>
      </c>
    </row>
    <row r="5" spans="1:5" x14ac:dyDescent="0.35">
      <c r="A5" t="s">
        <v>6</v>
      </c>
      <c r="B5" s="1">
        <v>7.0000000000000007E-2</v>
      </c>
      <c r="C5" s="1">
        <v>0.04</v>
      </c>
      <c r="D5" s="1">
        <v>0.06</v>
      </c>
      <c r="E5" s="1">
        <v>0.04</v>
      </c>
    </row>
    <row r="6" spans="1:5" x14ac:dyDescent="0.35">
      <c r="A6" t="s">
        <v>5</v>
      </c>
      <c r="B6" s="1">
        <v>0.05</v>
      </c>
      <c r="C6" s="1">
        <v>0.05</v>
      </c>
      <c r="D6" s="1">
        <v>0.02</v>
      </c>
      <c r="E6" s="1">
        <v>0.03</v>
      </c>
    </row>
  </sheetData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Race</vt:lpstr>
      <vt:lpstr>Gender</vt:lpstr>
      <vt:lpstr>Age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Subir Parida</dc:creator>
  <dc:description/>
  <cp:lastModifiedBy>Subir Parida</cp:lastModifiedBy>
  <cp:revision>8</cp:revision>
  <dcterms:created xsi:type="dcterms:W3CDTF">2024-02-17T17:49:25Z</dcterms:created>
  <dcterms:modified xsi:type="dcterms:W3CDTF">2024-02-25T08:02:17Z</dcterms:modified>
  <dc:language>en-IN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