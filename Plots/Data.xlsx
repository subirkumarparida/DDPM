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34.xml" ContentType="application/vnd.openxmlformats-officedocument.drawingml.chart+xml"/>
  <Override PartName="/xl/charts/chart133.xml" ContentType="application/vnd.openxmlformats-officedocument.drawingml.chart+xml"/>
  <Override PartName="/xl/charts/chart132.xml" ContentType="application/vnd.openxmlformats-officedocument.drawingml.chart+xml"/>
  <Override PartName="/xl/charts/chart131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28.xml" ContentType="application/vnd.openxmlformats-officedocument.drawingml.chart+xml"/>
  <Override PartName="/xl/charts/chart127.xml" ContentType="application/vnd.openxmlformats-officedocument.drawingml.chart+xml"/>
  <Override PartName="/xl/charts/chart126.xml" ContentType="application/vnd.openxmlformats-officedocument.drawingml.chart+xml"/>
  <Override PartName="/xl/charts/chart144.xml" ContentType="application/vnd.openxmlformats-officedocument.drawingml.chart+xml"/>
  <Override PartName="/xl/charts/chart143.xml" ContentType="application/vnd.openxmlformats-officedocument.drawingml.chart+xml"/>
  <Override PartName="/xl/charts/chart142.xml" ContentType="application/vnd.openxmlformats-officedocument.drawingml.chart+xml"/>
  <Override PartName="/xl/charts/chart141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38.xml" ContentType="application/vnd.openxmlformats-officedocument.drawingml.chart+xml"/>
  <Override PartName="/xl/charts/chart137.xml" ContentType="application/vnd.openxmlformats-officedocument.drawingml.chart+xml"/>
  <Override PartName="/xl/charts/chart125.xml" ContentType="application/vnd.openxmlformats-officedocument.drawingml.chart+xml"/>
  <Override PartName="/xl/charts/chart136.xml" ContentType="application/vnd.openxmlformats-officedocument.drawingml.chart+xml"/>
  <Override PartName="/xl/charts/chart124.xml" ContentType="application/vnd.openxmlformats-officedocument.drawingml.chart+xml"/>
  <Override PartName="/xl/charts/chart123.xml" ContentType="application/vnd.openxmlformats-officedocument.drawingml.chart+xml"/>
  <Override PartName="/xl/charts/chart135.xml" ContentType="application/vnd.openxmlformats-officedocument.drawingml.chart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ce" sheetId="1" state="visible" r:id="rId2"/>
    <sheet name="Gender" sheetId="2" state="visible" r:id="rId3"/>
    <sheet name="Age" sheetId="3" state="visible" r:id="rId4"/>
    <sheet name="Sheet1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<sst xmlns="http://schemas.openxmlformats.org/spreadsheetml/2006/main" count="117" uniqueCount="29">
  <si>
    <t xml:space="preserve">LDM</t>
  </si>
  <si>
    <t xml:space="preserve">DDGAN</t>
  </si>
  <si>
    <t xml:space="preserve">DDPM</t>
  </si>
  <si>
    <t xml:space="preserve">Train</t>
  </si>
  <si>
    <t xml:space="preserve">White</t>
  </si>
  <si>
    <t xml:space="preserve">Asian</t>
  </si>
  <si>
    <t xml:space="preserve">Black</t>
  </si>
  <si>
    <t xml:space="preserve">Indian</t>
  </si>
  <si>
    <t xml:space="preserve">Disparity</t>
  </si>
  <si>
    <t xml:space="preserve">Dataset</t>
  </si>
  <si>
    <t xml:space="preserve">CelebA-HQ</t>
  </si>
  <si>
    <t xml:space="preserve">FairFace</t>
  </si>
  <si>
    <t xml:space="preserve">-</t>
  </si>
  <si>
    <t xml:space="preserve">Bal-FairFace</t>
  </si>
  <si>
    <t xml:space="preserve">Male</t>
  </si>
  <si>
    <t xml:space="preserve">Female</t>
  </si>
  <si>
    <t xml:space="preserve">10 – 19</t>
  </si>
  <si>
    <t xml:space="preserve">20 – 29</t>
  </si>
  <si>
    <t xml:space="preserve">30 – 39</t>
  </si>
  <si>
    <t xml:space="preserve">40 – 49</t>
  </si>
  <si>
    <t xml:space="preserve">50 – 59</t>
  </si>
  <si>
    <t xml:space="preserve">60 – 69</t>
  </si>
  <si>
    <t xml:space="preserve">70++</t>
  </si>
  <si>
    <t xml:space="preserve">0 – 2</t>
  </si>
  <si>
    <t xml:space="preserve">3 – 9</t>
  </si>
  <si>
    <t xml:space="preserve">Model 1</t>
  </si>
  <si>
    <t xml:space="preserve">Model 2</t>
  </si>
  <si>
    <t xml:space="preserve">Model 3</t>
  </si>
  <si>
    <t xml:space="preserve">Model 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</si>
</sst>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%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FFFFFF"/>
      <name val="Calibri"/>
      <family val="2"/>
    </font>
    <font>
      <sz val="9"/>
      <color rgb="FF404040"/>
      <name val="Calibri"/>
      <family val="2"/>
    </font>
    <font>
      <sz val="9"/>
      <color rgb="FFFFFFFF"/>
      <name val="Calibri"/>
      <family val="2"/>
    </font>
    <font>
      <sz val="9"/>
      <color rgb="FF595959"/>
      <name val="Calibri"/>
      <family val="2"/>
    </font>
    <font>
      <sz val="10"/>
      <name val="Arial"/>
      <family val="2"/>
    </font>
    <font>
      <b val="true"/>
      <sz val="16"/>
      <color rgb="FF595959"/>
      <name val="Calibri"/>
      <family val="2"/>
    </font>
    <font>
      <b val="true"/>
      <sz val="8"/>
      <color rgb="FFFFFFFF"/>
      <name val="Calibri"/>
      <family val="2"/>
    </font>
    <font>
      <sz val="8"/>
      <color rgb="FF595959"/>
      <name val="Calibri"/>
      <family val="2"/>
    </font>
    <font>
      <sz val="14"/>
      <color rgb="FF595959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420E"/>
      <rgbColor rgb="FF00FF00"/>
      <rgbColor rgb="FF0000FF"/>
      <rgbColor rgb="FFFFD320"/>
      <rgbColor rgb="FFFF00FF"/>
      <rgbColor rgb="FF00FFFF"/>
      <rgbColor rgb="FF7E0021"/>
      <rgbColor rgb="FF008000"/>
      <rgbColor rgb="FF000080"/>
      <rgbColor rgb="FF70AD47"/>
      <rgbColor rgb="FF800080"/>
      <rgbColor rgb="FF008080"/>
      <rgbColor rgb="FFB3B3B3"/>
      <rgbColor rgb="FF595959"/>
      <rgbColor rgb="FF5B9BD5"/>
      <rgbColor rgb="FF993366"/>
      <rgbColor rgb="FFFFFFCC"/>
      <rgbColor rgb="FFCCFFFF"/>
      <rgbColor rgb="FF4B1F6F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4472C4"/>
      <rgbColor rgb="FF33CCCC"/>
      <rgbColor rgb="FFAECF00"/>
      <rgbColor rgb="FFFFC000"/>
      <rgbColor rgb="FFFF9900"/>
      <rgbColor rgb="FFED7D31"/>
      <rgbColor rgb="FF636363"/>
      <rgbColor rgb="FFA5A5A5"/>
      <rgbColor rgb="FF004586"/>
      <rgbColor rgb="FF579D1C"/>
      <rgbColor rgb="FF003300"/>
      <rgbColor rgb="FF314004"/>
      <rgbColor rgb="FF9E480E"/>
      <rgbColor rgb="FF993366"/>
      <rgbColor rgb="FF2644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bar"/>
        <c:grouping val="percentStacked"/>
        <c:varyColors val="0"/>
        <c:ser>
          <c:idx val="0"/>
          <c:order val="0"/>
          <c:tx>
            <c:strRef>
              <c:f>Race!$A$2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sz="1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Race!$B$2:$E$2</c:f>
              <c:numCache>
                <c:formatCode>General</c:formatCode>
                <c:ptCount val="4"/>
                <c:pt idx="0">
                  <c:v>91</c:v>
                </c:pt>
                <c:pt idx="1">
                  <c:v>82</c:v>
                </c:pt>
                <c:pt idx="2">
                  <c:v>89</c:v>
                </c:pt>
                <c:pt idx="3">
                  <c:v>83</c:v>
                </c:pt>
              </c:numCache>
            </c:numRef>
          </c:val>
        </c:ser>
        <c:ser>
          <c:idx val="1"/>
          <c:order val="1"/>
          <c:tx>
            <c:strRef>
              <c:f>Race!$A$3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Race!$B$3:$E$3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</c:ser>
        <c:ser>
          <c:idx val="2"/>
          <c:order val="2"/>
          <c:tx>
            <c:strRef>
              <c:f>Race!$A$4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Race!$B$4:$E$4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</c:ser>
        <c:ser>
          <c:idx val="3"/>
          <c:order val="3"/>
          <c:tx>
            <c:strRef>
              <c:f>Race!$A$5</c:f>
              <c:strCache>
                <c:ptCount val="1"/>
                <c:pt idx="0">
                  <c:v>Indian</c:v>
                </c:pt>
              </c:strCache>
            </c:strRef>
          </c:tx>
          <c:spPr>
            <a:solidFill>
              <a:srgbClr val="264478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Race!$B$5:$E$5</c:f>
              <c:numCache>
                <c:formatCode>General</c:formatCode>
                <c:ptCount val="4"/>
                <c:pt idx="0">
                  <c:v>2</c:v>
                </c:pt>
                <c:pt idx="1">
                  <c:v>10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</c:ser>
        <c:gapWidth val="75"/>
        <c:shape val="box"/>
        <c:axId val="72490978"/>
        <c:axId val="88284339"/>
        <c:axId val="0"/>
      </c:bar3DChart>
      <c:catAx>
        <c:axId val="72490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284339"/>
        <c:crosses val="autoZero"/>
        <c:auto val="1"/>
        <c:lblAlgn val="ctr"/>
        <c:lblOffset val="100"/>
        <c:noMultiLvlLbl val="0"/>
      </c:catAx>
      <c:valAx>
        <c:axId val="8828433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6480">
            <a:solidFill>
              <a:srgbClr val="000000">
                <a:alpha val="92000"/>
              </a:srgbClr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49097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600" spc="109" strike="noStrike">
                <a:solidFill>
                  <a:srgbClr val="595959"/>
                </a:solidFill>
                <a:latin typeface="Calibri"/>
              </a:defRPr>
            </a:pPr>
            <a:r>
              <a:rPr b="1" sz="1600" spc="109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bar"/>
        <c:grouping val="percentStacked"/>
        <c:varyColors val="0"/>
        <c:ser>
          <c:idx val="0"/>
          <c:order val="0"/>
          <c:tx>
            <c:strRef>
              <c:f>Race!$A$20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Race!$B$19:$E$19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Race!$B$20:$E$20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51</c:v>
                </c:pt>
                <c:pt idx="3">
                  <c:v>34</c:v>
                </c:pt>
              </c:numCache>
            </c:numRef>
          </c:val>
        </c:ser>
        <c:ser>
          <c:idx val="1"/>
          <c:order val="1"/>
          <c:tx>
            <c:strRef>
              <c:f>Race!$A$21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Race!$B$19:$E$19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Race!$B$21:$E$21</c:f>
              <c:numCache>
                <c:formatCode>General</c:formatCode>
                <c:ptCount val="4"/>
                <c:pt idx="0">
                  <c:v>0</c:v>
                </c:pt>
                <c:pt idx="1">
                  <c:v>19</c:v>
                </c:pt>
                <c:pt idx="2">
                  <c:v>33</c:v>
                </c:pt>
                <c:pt idx="3">
                  <c:v>31</c:v>
                </c:pt>
              </c:numCache>
            </c:numRef>
          </c:val>
        </c:ser>
        <c:ser>
          <c:idx val="2"/>
          <c:order val="2"/>
          <c:tx>
            <c:strRef>
              <c:f>Race!$A$22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Race!$B$19:$E$19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Race!$B$22:$E$22</c:f>
              <c:numCache>
                <c:formatCode>General</c:formatCode>
                <c:ptCount val="4"/>
                <c:pt idx="0">
                  <c:v>0</c:v>
                </c:pt>
                <c:pt idx="1">
                  <c:v>13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</c:ser>
        <c:ser>
          <c:idx val="3"/>
          <c:order val="3"/>
          <c:tx>
            <c:strRef>
              <c:f>Race!$A$23</c:f>
              <c:strCache>
                <c:ptCount val="1"/>
                <c:pt idx="0">
                  <c:v>Indian</c:v>
                </c:pt>
              </c:strCache>
            </c:strRef>
          </c:tx>
          <c:spPr>
            <a:solidFill>
              <a:srgbClr val="264478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Race!$B$19:$E$19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Race!$B$23:$E$23</c:f>
              <c:numCache>
                <c:formatCode>General</c:formatCode>
                <c:ptCount val="4"/>
                <c:pt idx="0">
                  <c:v>0</c:v>
                </c:pt>
                <c:pt idx="1">
                  <c:v>44</c:v>
                </c:pt>
                <c:pt idx="2">
                  <c:v>9</c:v>
                </c:pt>
                <c:pt idx="3">
                  <c:v>20</c:v>
                </c:pt>
              </c:numCache>
            </c:numRef>
          </c:val>
        </c:ser>
        <c:gapWidth val="79"/>
        <c:shape val="box"/>
        <c:axId val="38268011"/>
        <c:axId val="87855057"/>
        <c:axId val="0"/>
      </c:bar3DChart>
      <c:catAx>
        <c:axId val="38268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109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855057"/>
        <c:crosses val="autoZero"/>
        <c:auto val="1"/>
        <c:lblAlgn val="ctr"/>
        <c:lblOffset val="100"/>
        <c:noMultiLvlLbl val="0"/>
      </c:catAx>
      <c:valAx>
        <c:axId val="87855057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0" lang="en-IN" sz="8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IN" sz="800" spc="-1" strike="noStrike">
                    <a:solidFill>
                      <a:srgbClr val="595959"/>
                    </a:solidFill>
                    <a:latin typeface="Calibri"/>
                  </a:rPr>
                  <a:t>percentages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268011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600" spc="109" strike="noStrike">
                <a:solidFill>
                  <a:srgbClr val="595959"/>
                </a:solidFill>
                <a:latin typeface="Calibri"/>
              </a:defRPr>
            </a:pPr>
            <a:r>
              <a:rPr b="1" sz="1600" spc="109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bar"/>
        <c:grouping val="percentStacked"/>
        <c:varyColors val="0"/>
        <c:ser>
          <c:idx val="0"/>
          <c:order val="0"/>
          <c:tx>
            <c:strRef>
              <c:f>Race!$A$36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Race!$B$35:$E$35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Race!$B$36:$E$36</c:f>
              <c:numCache>
                <c:formatCode>General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42</c:v>
                </c:pt>
                <c:pt idx="3">
                  <c:v>25</c:v>
                </c:pt>
              </c:numCache>
            </c:numRef>
          </c:val>
        </c:ser>
        <c:ser>
          <c:idx val="1"/>
          <c:order val="1"/>
          <c:tx>
            <c:strRef>
              <c:f>Race!$A$37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Race!$B$35:$E$35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Race!$B$37:$E$37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27</c:v>
                </c:pt>
                <c:pt idx="3">
                  <c:v>25</c:v>
                </c:pt>
              </c:numCache>
            </c:numRef>
          </c:val>
        </c:ser>
        <c:ser>
          <c:idx val="2"/>
          <c:order val="2"/>
          <c:tx>
            <c:strRef>
              <c:f>Race!$A$38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Race!$B$35:$E$35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Race!$B$38:$E$38</c:f>
              <c:numCache>
                <c:formatCode>General</c:formatCode>
                <c:ptCount val="4"/>
                <c:pt idx="0">
                  <c:v>0</c:v>
                </c:pt>
                <c:pt idx="1">
                  <c:v>19</c:v>
                </c:pt>
                <c:pt idx="2">
                  <c:v>16</c:v>
                </c:pt>
                <c:pt idx="3">
                  <c:v>25</c:v>
                </c:pt>
              </c:numCache>
            </c:numRef>
          </c:val>
        </c:ser>
        <c:ser>
          <c:idx val="3"/>
          <c:order val="3"/>
          <c:tx>
            <c:strRef>
              <c:f>Race!$A$39</c:f>
              <c:strCache>
                <c:ptCount val="1"/>
                <c:pt idx="0">
                  <c:v>Indian</c:v>
                </c:pt>
              </c:strCache>
            </c:strRef>
          </c:tx>
          <c:spPr>
            <a:solidFill>
              <a:srgbClr val="264478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Race!$B$35:$E$35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Race!$B$39:$E$39</c:f>
              <c:numCache>
                <c:formatCode>General</c:formatCode>
                <c:ptCount val="4"/>
                <c:pt idx="0">
                  <c:v>0</c:v>
                </c:pt>
                <c:pt idx="1">
                  <c:v>35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</c:ser>
        <c:gapWidth val="79"/>
        <c:shape val="box"/>
        <c:axId val="54340766"/>
        <c:axId val="77613840"/>
        <c:axId val="0"/>
      </c:bar3DChart>
      <c:catAx>
        <c:axId val="543407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109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613840"/>
        <c:crosses val="autoZero"/>
        <c:auto val="1"/>
        <c:lblAlgn val="ctr"/>
        <c:lblOffset val="100"/>
        <c:noMultiLvlLbl val="0"/>
      </c:catAx>
      <c:valAx>
        <c:axId val="77613840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0" lang="en-IN" sz="9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IN" sz="900" spc="-1" strike="noStrike">
                    <a:solidFill>
                      <a:srgbClr val="595959"/>
                    </a:solidFill>
                    <a:latin typeface="Calibri"/>
                  </a:rPr>
                  <a:t>percentages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340766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Race!$B$9</c:f>
              <c:strCache>
                <c:ptCount val="1"/>
                <c:pt idx="0">
                  <c:v>Dataset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Race!$A$10:$A$12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Race!$B$10:$B$12</c:f>
              <c:numCache>
                <c:formatCode>General</c:formatCode>
                <c:ptCount val="3"/>
                <c:pt idx="0">
                  <c:v>0.33</c:v>
                </c:pt>
                <c:pt idx="1">
                  <c:v>0.08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Race!$C$9</c:f>
              <c:strCache>
                <c:ptCount val="1"/>
                <c:pt idx="0">
                  <c:v>DDPM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Race!$A$10:$A$12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Race!$C$10:$C$12</c:f>
              <c:numCache>
                <c:formatCode>General</c:formatCode>
                <c:ptCount val="3"/>
                <c:pt idx="0">
                  <c:v>0.37</c:v>
                </c:pt>
                <c:pt idx="1">
                  <c:v>0.18</c:v>
                </c:pt>
                <c:pt idx="2">
                  <c:v>0.11</c:v>
                </c:pt>
              </c:numCache>
            </c:numRef>
          </c:val>
        </c:ser>
        <c:ser>
          <c:idx val="2"/>
          <c:order val="2"/>
          <c:tx>
            <c:strRef>
              <c:f>Race!$D$9</c:f>
              <c:strCache>
                <c:ptCount val="1"/>
                <c:pt idx="0">
                  <c:v>DDGAN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Race!$A$10:$A$12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Race!$D$10:$D$12</c:f>
              <c:numCache>
                <c:formatCode>General</c:formatCode>
                <c:ptCount val="3"/>
                <c:pt idx="0">
                  <c:v>0.33</c:v>
                </c:pt>
                <c:pt idx="1">
                  <c:v>0.12</c:v>
                </c:pt>
                <c:pt idx="2">
                  <c:v>0.06</c:v>
                </c:pt>
              </c:numCache>
            </c:numRef>
          </c:val>
        </c:ser>
        <c:ser>
          <c:idx val="3"/>
          <c:order val="3"/>
          <c:tx>
            <c:strRef>
              <c:f>Race!$E$9</c:f>
              <c:strCache>
                <c:ptCount val="1"/>
                <c:pt idx="0">
                  <c:v>LDM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Race!$A$10:$A$12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Race!$E$10:$E$12</c:f>
              <c:numCache>
                <c:formatCode>General</c:formatCode>
                <c:ptCount val="3"/>
                <c:pt idx="0">
                  <c:v>0.38</c:v>
                </c:pt>
              </c:numCache>
            </c:numRef>
          </c:val>
        </c:ser>
        <c:gapWidth val="100"/>
        <c:overlap val="0"/>
        <c:axId val="54655633"/>
        <c:axId val="14753666"/>
      </c:barChart>
      <c:catAx>
        <c:axId val="546556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4753666"/>
        <c:crosses val="autoZero"/>
        <c:auto val="1"/>
        <c:lblAlgn val="ctr"/>
        <c:lblOffset val="100"/>
        <c:noMultiLvlLbl val="0"/>
      </c:catAx>
      <c:valAx>
        <c:axId val="1475366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4655633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Race!$A$2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Race!$B$2:$E$2</c:f>
              <c:numCache>
                <c:formatCode>General</c:formatCode>
                <c:ptCount val="4"/>
                <c:pt idx="0">
                  <c:v>91</c:v>
                </c:pt>
                <c:pt idx="1">
                  <c:v>82</c:v>
                </c:pt>
                <c:pt idx="2">
                  <c:v>89</c:v>
                </c:pt>
                <c:pt idx="3">
                  <c:v>83</c:v>
                </c:pt>
              </c:numCache>
            </c:numRef>
          </c:val>
        </c:ser>
        <c:ser>
          <c:idx val="1"/>
          <c:order val="1"/>
          <c:tx>
            <c:strRef>
              <c:f>Race!$A$3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Race!$B$3:$E$3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</c:ser>
        <c:ser>
          <c:idx val="2"/>
          <c:order val="2"/>
          <c:tx>
            <c:strRef>
              <c:f>Race!$A$4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Race!$B$4:$E$4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</c:ser>
        <c:ser>
          <c:idx val="3"/>
          <c:order val="3"/>
          <c:tx>
            <c:strRef>
              <c:f>Race!$A$5</c:f>
              <c:strCache>
                <c:ptCount val="1"/>
                <c:pt idx="0">
                  <c:v>Indian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Race!$B$5:$E$5</c:f>
              <c:numCache>
                <c:formatCode>General</c:formatCode>
                <c:ptCount val="4"/>
                <c:pt idx="0">
                  <c:v>2</c:v>
                </c:pt>
                <c:pt idx="1">
                  <c:v>10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</c:ser>
        <c:gapWidth val="100"/>
        <c:overlap val="100"/>
        <c:axId val="40093921"/>
        <c:axId val="24960815"/>
      </c:barChart>
      <c:catAx>
        <c:axId val="400939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960815"/>
        <c:crosses val="autoZero"/>
        <c:auto val="1"/>
        <c:lblAlgn val="ctr"/>
        <c:lblOffset val="100"/>
        <c:noMultiLvlLbl val="0"/>
      </c:catAx>
      <c:valAx>
        <c:axId val="2496081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-4009]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093921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Race!$A$20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Race!$B$19:$E$19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Race!$B$20:$E$20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51</c:v>
                </c:pt>
                <c:pt idx="3">
                  <c:v>34</c:v>
                </c:pt>
              </c:numCache>
            </c:numRef>
          </c:val>
        </c:ser>
        <c:ser>
          <c:idx val="1"/>
          <c:order val="1"/>
          <c:tx>
            <c:strRef>
              <c:f>Race!$A$21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Race!$B$19:$E$19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Race!$B$21:$E$21</c:f>
              <c:numCache>
                <c:formatCode>General</c:formatCode>
                <c:ptCount val="4"/>
                <c:pt idx="0">
                  <c:v>0</c:v>
                </c:pt>
                <c:pt idx="1">
                  <c:v>19</c:v>
                </c:pt>
                <c:pt idx="2">
                  <c:v>33</c:v>
                </c:pt>
                <c:pt idx="3">
                  <c:v>31</c:v>
                </c:pt>
              </c:numCache>
            </c:numRef>
          </c:val>
        </c:ser>
        <c:ser>
          <c:idx val="2"/>
          <c:order val="2"/>
          <c:tx>
            <c:strRef>
              <c:f>Race!$A$22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Race!$B$19:$E$19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Race!$B$22:$E$22</c:f>
              <c:numCache>
                <c:formatCode>General</c:formatCode>
                <c:ptCount val="4"/>
                <c:pt idx="0">
                  <c:v>0</c:v>
                </c:pt>
                <c:pt idx="1">
                  <c:v>13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</c:ser>
        <c:ser>
          <c:idx val="3"/>
          <c:order val="3"/>
          <c:tx>
            <c:strRef>
              <c:f>Race!$A$23</c:f>
              <c:strCache>
                <c:ptCount val="1"/>
                <c:pt idx="0">
                  <c:v>Indian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Race!$B$19:$E$19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Race!$B$23:$E$23</c:f>
              <c:numCache>
                <c:formatCode>General</c:formatCode>
                <c:ptCount val="4"/>
                <c:pt idx="0">
                  <c:v>0</c:v>
                </c:pt>
                <c:pt idx="1">
                  <c:v>44</c:v>
                </c:pt>
                <c:pt idx="2">
                  <c:v>9</c:v>
                </c:pt>
                <c:pt idx="3">
                  <c:v>20</c:v>
                </c:pt>
              </c:numCache>
            </c:numRef>
          </c:val>
        </c:ser>
        <c:gapWidth val="100"/>
        <c:overlap val="100"/>
        <c:axId val="76799667"/>
        <c:axId val="76610159"/>
      </c:barChart>
      <c:catAx>
        <c:axId val="767996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6610159"/>
        <c:crosses val="autoZero"/>
        <c:auto val="1"/>
        <c:lblAlgn val="ctr"/>
        <c:lblOffset val="100"/>
        <c:noMultiLvlLbl val="0"/>
      </c:catAx>
      <c:valAx>
        <c:axId val="7661015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-4009]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6799667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Race!$A$36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Race!$B$35:$E$35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Race!$B$36:$E$36</c:f>
              <c:numCache>
                <c:formatCode>General</c:formatCode>
                <c:ptCount val="4"/>
                <c:pt idx="0">
                  <c:v>0</c:v>
                </c:pt>
                <c:pt idx="1">
                  <c:v>22</c:v>
                </c:pt>
                <c:pt idx="2">
                  <c:v>42</c:v>
                </c:pt>
                <c:pt idx="3">
                  <c:v>25</c:v>
                </c:pt>
              </c:numCache>
            </c:numRef>
          </c:val>
        </c:ser>
        <c:ser>
          <c:idx val="1"/>
          <c:order val="1"/>
          <c:tx>
            <c:strRef>
              <c:f>Race!$A$37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Race!$B$35:$E$35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Race!$B$37:$E$37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27</c:v>
                </c:pt>
                <c:pt idx="3">
                  <c:v>25</c:v>
                </c:pt>
              </c:numCache>
            </c:numRef>
          </c:val>
        </c:ser>
        <c:ser>
          <c:idx val="2"/>
          <c:order val="2"/>
          <c:tx>
            <c:strRef>
              <c:f>Race!$A$38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Race!$B$35:$E$35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Race!$B$38:$E$38</c:f>
              <c:numCache>
                <c:formatCode>General</c:formatCode>
                <c:ptCount val="4"/>
                <c:pt idx="0">
                  <c:v>0</c:v>
                </c:pt>
                <c:pt idx="1">
                  <c:v>19</c:v>
                </c:pt>
                <c:pt idx="2">
                  <c:v>16</c:v>
                </c:pt>
                <c:pt idx="3">
                  <c:v>25</c:v>
                </c:pt>
              </c:numCache>
            </c:numRef>
          </c:val>
        </c:ser>
        <c:ser>
          <c:idx val="3"/>
          <c:order val="3"/>
          <c:tx>
            <c:strRef>
              <c:f>Race!$A$39</c:f>
              <c:strCache>
                <c:ptCount val="1"/>
                <c:pt idx="0">
                  <c:v>Indian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Race!$B$35:$E$35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Race!$B$39:$E$39</c:f>
              <c:numCache>
                <c:formatCode>General</c:formatCode>
                <c:ptCount val="4"/>
                <c:pt idx="0">
                  <c:v>0</c:v>
                </c:pt>
                <c:pt idx="1">
                  <c:v>35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</c:ser>
        <c:gapWidth val="100"/>
        <c:overlap val="100"/>
        <c:axId val="96321127"/>
        <c:axId val="59759576"/>
      </c:barChart>
      <c:catAx>
        <c:axId val="963211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759576"/>
        <c:crosses val="autoZero"/>
        <c:auto val="1"/>
        <c:lblAlgn val="ctr"/>
        <c:lblOffset val="100"/>
        <c:noMultiLvlLbl val="0"/>
      </c:catAx>
      <c:valAx>
        <c:axId val="597595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-4009]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321127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bar"/>
        <c:grouping val="percentStacked"/>
        <c:varyColors val="0"/>
        <c:ser>
          <c:idx val="0"/>
          <c:order val="0"/>
          <c:tx>
            <c:strRef>
              <c:f>Gender!$A$2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Gender!$B$1:$E$1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Gender!$B$2:$E$2</c:f>
              <c:numCache>
                <c:formatCode>General</c:formatCode>
                <c:ptCount val="4"/>
                <c:pt idx="0">
                  <c:v>34</c:v>
                </c:pt>
                <c:pt idx="1">
                  <c:v>31</c:v>
                </c:pt>
                <c:pt idx="2">
                  <c:v>29</c:v>
                </c:pt>
                <c:pt idx="3">
                  <c:v>36</c:v>
                </c:pt>
              </c:numCache>
            </c:numRef>
          </c:val>
        </c:ser>
        <c:ser>
          <c:idx val="1"/>
          <c:order val="1"/>
          <c:tx>
            <c:strRef>
              <c:f>Gender!$A$3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Gender!$B$1:$E$1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Gender!$B$3:$E$3</c:f>
              <c:numCache>
                <c:formatCode>General</c:formatCode>
                <c:ptCount val="4"/>
                <c:pt idx="0">
                  <c:v>66</c:v>
                </c:pt>
                <c:pt idx="1">
                  <c:v>69</c:v>
                </c:pt>
                <c:pt idx="2">
                  <c:v>71</c:v>
                </c:pt>
                <c:pt idx="3">
                  <c:v>64</c:v>
                </c:pt>
              </c:numCache>
            </c:numRef>
          </c:val>
        </c:ser>
        <c:gapWidth val="79"/>
        <c:shape val="box"/>
        <c:axId val="61081890"/>
        <c:axId val="82680373"/>
        <c:axId val="0"/>
      </c:bar3DChart>
      <c:catAx>
        <c:axId val="61081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109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680373"/>
        <c:crosses val="autoZero"/>
        <c:auto val="1"/>
        <c:lblAlgn val="ctr"/>
        <c:lblOffset val="100"/>
        <c:noMultiLvlLbl val="0"/>
      </c:catAx>
      <c:valAx>
        <c:axId val="82680373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0" lang="en-IN" sz="9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IN" sz="900" spc="-1" strike="noStrike">
                    <a:solidFill>
                      <a:srgbClr val="595959"/>
                    </a:solidFill>
                    <a:latin typeface="Calibri"/>
                  </a:rPr>
                  <a:t>Percentages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081890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bar"/>
        <c:grouping val="percentStacked"/>
        <c:varyColors val="0"/>
        <c:ser>
          <c:idx val="0"/>
          <c:order val="0"/>
          <c:tx>
            <c:strRef>
              <c:f>Gender!$A$12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Gender!$B$11:$E$11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Gender!$B$12:$E$12</c:f>
              <c:numCache>
                <c:formatCode>General</c:formatCode>
                <c:ptCount val="4"/>
                <c:pt idx="0">
                  <c:v>0</c:v>
                </c:pt>
                <c:pt idx="1">
                  <c:v>44</c:v>
                </c:pt>
                <c:pt idx="2">
                  <c:v>42</c:v>
                </c:pt>
                <c:pt idx="3">
                  <c:v>54</c:v>
                </c:pt>
              </c:numCache>
            </c:numRef>
          </c:val>
        </c:ser>
        <c:ser>
          <c:idx val="1"/>
          <c:order val="1"/>
          <c:tx>
            <c:strRef>
              <c:f>Gender!$A$13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Gender!$B$11:$E$11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Gender!$B$13:$E$13</c:f>
              <c:numCache>
                <c:formatCode>General</c:formatCode>
                <c:ptCount val="4"/>
                <c:pt idx="0">
                  <c:v>0</c:v>
                </c:pt>
                <c:pt idx="1">
                  <c:v>56</c:v>
                </c:pt>
                <c:pt idx="2">
                  <c:v>58</c:v>
                </c:pt>
                <c:pt idx="3">
                  <c:v>46</c:v>
                </c:pt>
              </c:numCache>
            </c:numRef>
          </c:val>
        </c:ser>
        <c:gapWidth val="79"/>
        <c:shape val="box"/>
        <c:axId val="31633579"/>
        <c:axId val="56000976"/>
        <c:axId val="0"/>
      </c:bar3DChart>
      <c:catAx>
        <c:axId val="31633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109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000976"/>
        <c:crosses val="autoZero"/>
        <c:auto val="1"/>
        <c:lblAlgn val="ctr"/>
        <c:lblOffset val="100"/>
        <c:noMultiLvlLbl val="0"/>
      </c:catAx>
      <c:valAx>
        <c:axId val="56000976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0" lang="en-IN" sz="8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IN" sz="800" spc="-1" strike="noStrike">
                    <a:solidFill>
                      <a:srgbClr val="595959"/>
                    </a:solidFill>
                    <a:latin typeface="Calibri"/>
                  </a:rPr>
                  <a:t>Percentages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633579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bar"/>
        <c:grouping val="percentStacked"/>
        <c:varyColors val="0"/>
        <c:ser>
          <c:idx val="0"/>
          <c:order val="0"/>
          <c:tx>
            <c:strRef>
              <c:f>Gender!$A$21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Gender!$B$20:$E$20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Gender!$B$21:$E$21</c:f>
              <c:numCache>
                <c:formatCode>General</c:formatCode>
                <c:ptCount val="4"/>
                <c:pt idx="0">
                  <c:v>0</c:v>
                </c:pt>
                <c:pt idx="1">
                  <c:v>43</c:v>
                </c:pt>
                <c:pt idx="2">
                  <c:v>44</c:v>
                </c:pt>
                <c:pt idx="3">
                  <c:v>50</c:v>
                </c:pt>
              </c:numCache>
            </c:numRef>
          </c:val>
        </c:ser>
        <c:ser>
          <c:idx val="1"/>
          <c:order val="1"/>
          <c:tx>
            <c:strRef>
              <c:f>Gender!$A$22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Gender!$B$20:$E$20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Gender!$B$22:$E$22</c:f>
              <c:numCache>
                <c:formatCode>General</c:formatCode>
                <c:ptCount val="4"/>
                <c:pt idx="0">
                  <c:v>0</c:v>
                </c:pt>
                <c:pt idx="1">
                  <c:v>57</c:v>
                </c:pt>
                <c:pt idx="2">
                  <c:v>56</c:v>
                </c:pt>
                <c:pt idx="3">
                  <c:v>50</c:v>
                </c:pt>
              </c:numCache>
            </c:numRef>
          </c:val>
        </c:ser>
        <c:gapWidth val="79"/>
        <c:shape val="box"/>
        <c:axId val="37098457"/>
        <c:axId val="59074132"/>
        <c:axId val="0"/>
      </c:bar3DChart>
      <c:catAx>
        <c:axId val="37098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109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074132"/>
        <c:crosses val="autoZero"/>
        <c:auto val="1"/>
        <c:lblAlgn val="ctr"/>
        <c:lblOffset val="100"/>
        <c:noMultiLvlLbl val="0"/>
      </c:catAx>
      <c:valAx>
        <c:axId val="59074132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0" lang="en-IN" sz="8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IN" sz="800" spc="-1" strike="noStrike">
                    <a:solidFill>
                      <a:srgbClr val="595959"/>
                    </a:solidFill>
                    <a:latin typeface="Calibri"/>
                  </a:rPr>
                  <a:t>Percentages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098457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Gender!$A$2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Gender!$B$2:$E$2</c:f>
              <c:numCache>
                <c:formatCode>General</c:formatCode>
                <c:ptCount val="4"/>
                <c:pt idx="0">
                  <c:v>34</c:v>
                </c:pt>
                <c:pt idx="1">
                  <c:v>31</c:v>
                </c:pt>
                <c:pt idx="2">
                  <c:v>29</c:v>
                </c:pt>
                <c:pt idx="3">
                  <c:v>36</c:v>
                </c:pt>
              </c:numCache>
            </c:numRef>
          </c:val>
        </c:ser>
        <c:ser>
          <c:idx val="1"/>
          <c:order val="1"/>
          <c:tx>
            <c:strRef>
              <c:f>Gender!$A$3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Gender!$B$3:$E$3</c:f>
              <c:numCache>
                <c:formatCode>General</c:formatCode>
                <c:ptCount val="4"/>
                <c:pt idx="0">
                  <c:v>66</c:v>
                </c:pt>
                <c:pt idx="1">
                  <c:v>69</c:v>
                </c:pt>
                <c:pt idx="2">
                  <c:v>71</c:v>
                </c:pt>
                <c:pt idx="3">
                  <c:v>64</c:v>
                </c:pt>
              </c:numCache>
            </c:numRef>
          </c:val>
        </c:ser>
        <c:gapWidth val="100"/>
        <c:overlap val="100"/>
        <c:axId val="72347820"/>
        <c:axId val="21366310"/>
      </c:barChart>
      <c:catAx>
        <c:axId val="723478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366310"/>
        <c:crosses val="autoZero"/>
        <c:auto val="1"/>
        <c:lblAlgn val="ctr"/>
        <c:lblOffset val="100"/>
        <c:noMultiLvlLbl val="0"/>
      </c:catAx>
      <c:valAx>
        <c:axId val="2136631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-4009]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347820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Gender!$A$12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Gender!$B$11:$E$11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Gender!$B$12:$E$12</c:f>
              <c:numCache>
                <c:formatCode>General</c:formatCode>
                <c:ptCount val="4"/>
                <c:pt idx="0">
                  <c:v>0</c:v>
                </c:pt>
                <c:pt idx="1">
                  <c:v>44</c:v>
                </c:pt>
                <c:pt idx="2">
                  <c:v>42</c:v>
                </c:pt>
                <c:pt idx="3">
                  <c:v>54</c:v>
                </c:pt>
              </c:numCache>
            </c:numRef>
          </c:val>
        </c:ser>
        <c:ser>
          <c:idx val="1"/>
          <c:order val="1"/>
          <c:tx>
            <c:strRef>
              <c:f>Gender!$A$13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Gender!$B$11:$E$11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Gender!$B$13:$E$13</c:f>
              <c:numCache>
                <c:formatCode>General</c:formatCode>
                <c:ptCount val="4"/>
                <c:pt idx="0">
                  <c:v>0</c:v>
                </c:pt>
                <c:pt idx="1">
                  <c:v>56</c:v>
                </c:pt>
                <c:pt idx="2">
                  <c:v>58</c:v>
                </c:pt>
                <c:pt idx="3">
                  <c:v>46</c:v>
                </c:pt>
              </c:numCache>
            </c:numRef>
          </c:val>
        </c:ser>
        <c:gapWidth val="100"/>
        <c:overlap val="100"/>
        <c:axId val="99829792"/>
        <c:axId val="75764122"/>
      </c:barChart>
      <c:catAx>
        <c:axId val="9982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764122"/>
        <c:crosses val="autoZero"/>
        <c:auto val="1"/>
        <c:lblAlgn val="ctr"/>
        <c:lblOffset val="100"/>
        <c:noMultiLvlLbl val="0"/>
      </c:catAx>
      <c:valAx>
        <c:axId val="7576412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-4009]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829792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Gender!$A$21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Gender!$B$20:$E$20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Gender!$B$21:$E$21</c:f>
              <c:numCache>
                <c:formatCode>General</c:formatCode>
                <c:ptCount val="4"/>
                <c:pt idx="0">
                  <c:v>0</c:v>
                </c:pt>
                <c:pt idx="1">
                  <c:v>43</c:v>
                </c:pt>
                <c:pt idx="2">
                  <c:v>44</c:v>
                </c:pt>
                <c:pt idx="3">
                  <c:v>50</c:v>
                </c:pt>
              </c:numCache>
            </c:numRef>
          </c:val>
        </c:ser>
        <c:ser>
          <c:idx val="1"/>
          <c:order val="1"/>
          <c:tx>
            <c:strRef>
              <c:f>Gender!$A$22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Gender!$B$20:$E$20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Gender!$B$22:$E$22</c:f>
              <c:numCache>
                <c:formatCode>General</c:formatCode>
                <c:ptCount val="4"/>
                <c:pt idx="0">
                  <c:v>0</c:v>
                </c:pt>
                <c:pt idx="1">
                  <c:v>57</c:v>
                </c:pt>
                <c:pt idx="2">
                  <c:v>56</c:v>
                </c:pt>
                <c:pt idx="3">
                  <c:v>50</c:v>
                </c:pt>
              </c:numCache>
            </c:numRef>
          </c:val>
        </c:ser>
        <c:gapWidth val="100"/>
        <c:overlap val="100"/>
        <c:axId val="51417612"/>
        <c:axId val="10302083"/>
      </c:barChart>
      <c:catAx>
        <c:axId val="514176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302083"/>
        <c:crosses val="autoZero"/>
        <c:auto val="1"/>
        <c:lblAlgn val="ctr"/>
        <c:lblOffset val="100"/>
        <c:noMultiLvlLbl val="0"/>
      </c:catAx>
      <c:valAx>
        <c:axId val="1030208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-4009]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417612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Gender!$B$28</c:f>
              <c:strCache>
                <c:ptCount val="1"/>
                <c:pt idx="0">
                  <c:v>Dataset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Gender!$A$29:$A$31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Gender!$B$29:$B$31</c:f>
              <c:numCache>
                <c:formatCode>General</c:formatCode>
                <c:ptCount val="3"/>
                <c:pt idx="0">
                  <c:v>0.14</c:v>
                </c:pt>
                <c:pt idx="1">
                  <c:v>0.04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Gender!$C$28</c:f>
              <c:strCache>
                <c:ptCount val="1"/>
                <c:pt idx="0">
                  <c:v>DDPM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Gender!$A$29:$A$31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Gender!$C$29:$C$31</c:f>
              <c:numCache>
                <c:formatCode>General</c:formatCode>
                <c:ptCount val="3"/>
                <c:pt idx="0">
                  <c:v>0.21</c:v>
                </c:pt>
                <c:pt idx="1">
                  <c:v>0.08</c:v>
                </c:pt>
                <c:pt idx="2">
                  <c:v>0.06</c:v>
                </c:pt>
              </c:numCache>
            </c:numRef>
          </c:val>
        </c:ser>
        <c:ser>
          <c:idx val="2"/>
          <c:order val="2"/>
          <c:tx>
            <c:strRef>
              <c:f>Gender!$D$28</c:f>
              <c:strCache>
                <c:ptCount val="1"/>
                <c:pt idx="0">
                  <c:v>DDGAN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Gender!$A$29:$A$31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Gender!$D$29:$D$31</c:f>
              <c:numCache>
                <c:formatCode>General</c:formatCode>
                <c:ptCount val="3"/>
                <c:pt idx="0">
                  <c:v>0.19</c:v>
                </c:pt>
                <c:pt idx="1">
                  <c:v>0.06</c:v>
                </c:pt>
                <c:pt idx="2">
                  <c:v>0.07</c:v>
                </c:pt>
              </c:numCache>
            </c:numRef>
          </c:val>
        </c:ser>
        <c:ser>
          <c:idx val="3"/>
          <c:order val="3"/>
          <c:tx>
            <c:strRef>
              <c:f>Gender!$E$28</c:f>
              <c:strCache>
                <c:ptCount val="1"/>
                <c:pt idx="0">
                  <c:v>LDM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Gender!$A$29:$A$31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Gender!$E$29:$E$31</c:f>
              <c:numCache>
                <c:formatCode>General</c:formatCode>
                <c:ptCount val="3"/>
                <c:pt idx="0">
                  <c:v>0.16</c:v>
                </c:pt>
              </c:numCache>
            </c:numRef>
          </c:val>
        </c:ser>
        <c:gapWidth val="100"/>
        <c:overlap val="0"/>
        <c:axId val="99232556"/>
        <c:axId val="74309607"/>
      </c:barChart>
      <c:catAx>
        <c:axId val="992325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4309607"/>
        <c:crosses val="autoZero"/>
        <c:auto val="1"/>
        <c:lblAlgn val="ctr"/>
        <c:lblOffset val="100"/>
        <c:noMultiLvlLbl val="0"/>
      </c:catAx>
      <c:valAx>
        <c:axId val="7430960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232556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bar"/>
        <c:grouping val="percentStacked"/>
        <c:varyColors val="0"/>
        <c:ser>
          <c:idx val="0"/>
          <c:order val="0"/>
          <c:tx>
            <c:strRef>
              <c:f>Age!$A$2</c:f>
              <c:strCache>
                <c:ptCount val="1"/>
                <c:pt idx="0">
                  <c:v>10 – 19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Age!$B$2:$E$2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Age!$A$3</c:f>
              <c:strCache>
                <c:ptCount val="1"/>
                <c:pt idx="0">
                  <c:v>20 – 29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Age!$B$3:$E$3</c:f>
              <c:numCache>
                <c:formatCode>General</c:formatCode>
                <c:ptCount val="4"/>
                <c:pt idx="0">
                  <c:v>67</c:v>
                </c:pt>
                <c:pt idx="1">
                  <c:v>60</c:v>
                </c:pt>
                <c:pt idx="2">
                  <c:v>80</c:v>
                </c:pt>
                <c:pt idx="3">
                  <c:v>61</c:v>
                </c:pt>
              </c:numCache>
            </c:numRef>
          </c:val>
        </c:ser>
        <c:ser>
          <c:idx val="2"/>
          <c:order val="2"/>
          <c:tx>
            <c:strRef>
              <c:f>Age!$A$4</c:f>
              <c:strCache>
                <c:ptCount val="1"/>
                <c:pt idx="0">
                  <c:v>30 – 39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Age!$B$4:$E$4</c:f>
              <c:numCache>
                <c:formatCode>General</c:formatCode>
                <c:ptCount val="4"/>
                <c:pt idx="0">
                  <c:v>16</c:v>
                </c:pt>
                <c:pt idx="1">
                  <c:v>28</c:v>
                </c:pt>
                <c:pt idx="2">
                  <c:v>14</c:v>
                </c:pt>
                <c:pt idx="3">
                  <c:v>21</c:v>
                </c:pt>
              </c:numCache>
            </c:numRef>
          </c:val>
        </c:ser>
        <c:ser>
          <c:idx val="3"/>
          <c:order val="3"/>
          <c:tx>
            <c:strRef>
              <c:f>Age!$A$5</c:f>
              <c:strCache>
                <c:ptCount val="1"/>
                <c:pt idx="0">
                  <c:v>40 – 49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Age!$B$5:$E$5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4"/>
          <c:order val="4"/>
          <c:tx>
            <c:strRef>
              <c:f>Age!$A$6</c:f>
              <c:strCache>
                <c:ptCount val="1"/>
                <c:pt idx="0">
                  <c:v>50 – 59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Age!$B$6:$E$6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</c:ser>
        <c:ser>
          <c:idx val="5"/>
          <c:order val="5"/>
          <c:tx>
            <c:strRef>
              <c:f>Age!$A$7</c:f>
              <c:strCache>
                <c:ptCount val="1"/>
                <c:pt idx="0">
                  <c:v>60 – 69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Age!$B$7:$E$7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ser>
          <c:idx val="6"/>
          <c:order val="6"/>
          <c:tx>
            <c:strRef>
              <c:f>Age!$A$8</c:f>
              <c:strCache>
                <c:ptCount val="1"/>
                <c:pt idx="0">
                  <c:v>70++</c:v>
                </c:pt>
              </c:strCache>
            </c:strRef>
          </c:tx>
          <c:spPr>
            <a:solidFill>
              <a:srgbClr val="264478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79"/>
        <c:shape val="box"/>
        <c:axId val="14276545"/>
        <c:axId val="51145077"/>
        <c:axId val="0"/>
      </c:bar3DChart>
      <c:catAx>
        <c:axId val="14276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109" strike="noStrike">
                <a:solidFill>
                  <a:srgbClr val="595959"/>
                </a:solidFill>
                <a:latin typeface="Calibri"/>
              </a:defRPr>
            </a:pPr>
          </a:p>
        </c:txPr>
        <c:crossAx val="51145077"/>
        <c:crosses val="autoZero"/>
        <c:auto val="1"/>
        <c:lblAlgn val="ctr"/>
        <c:lblOffset val="100"/>
        <c:noMultiLvlLbl val="0"/>
      </c:catAx>
      <c:valAx>
        <c:axId val="51145077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0" lang="en-IN" sz="9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IN" sz="900" spc="-1" strike="noStrike">
                    <a:solidFill>
                      <a:srgbClr val="595959"/>
                    </a:solidFill>
                    <a:latin typeface="Calibri"/>
                  </a:rPr>
                  <a:t>PERCENTAGES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276545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bar"/>
        <c:grouping val="percentStacked"/>
        <c:varyColors val="0"/>
        <c:ser>
          <c:idx val="0"/>
          <c:order val="0"/>
          <c:tx>
            <c:strRef>
              <c:f>Age!$A$28</c:f>
              <c:strCache>
                <c:ptCount val="1"/>
                <c:pt idx="0">
                  <c:v>0 – 2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Age!$B$28:$E$28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Age!$A$29</c:f>
              <c:strCache>
                <c:ptCount val="1"/>
                <c:pt idx="0">
                  <c:v>3 – 9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Age!$B$29:$E$29</c:f>
              <c:numCache>
                <c:formatCode>General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</c:ser>
        <c:ser>
          <c:idx val="2"/>
          <c:order val="2"/>
          <c:tx>
            <c:strRef>
              <c:f>Age!$A$30</c:f>
              <c:strCache>
                <c:ptCount val="1"/>
                <c:pt idx="0">
                  <c:v>10 – 19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Age!$B$30:$E$30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19</c:v>
                </c:pt>
                <c:pt idx="3">
                  <c:v>8</c:v>
                </c:pt>
              </c:numCache>
            </c:numRef>
          </c:val>
        </c:ser>
        <c:ser>
          <c:idx val="3"/>
          <c:order val="3"/>
          <c:tx>
            <c:strRef>
              <c:f>Age!$A$31</c:f>
              <c:strCache>
                <c:ptCount val="1"/>
                <c:pt idx="0">
                  <c:v>20 – 29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Age!$B$31:$E$31</c:f>
              <c:numCache>
                <c:formatCode>General</c:formatCode>
                <c:ptCount val="4"/>
                <c:pt idx="0">
                  <c:v>0</c:v>
                </c:pt>
                <c:pt idx="1">
                  <c:v>49</c:v>
                </c:pt>
                <c:pt idx="2">
                  <c:v>45</c:v>
                </c:pt>
                <c:pt idx="3">
                  <c:v>35</c:v>
                </c:pt>
              </c:numCache>
            </c:numRef>
          </c:val>
        </c:ser>
        <c:ser>
          <c:idx val="4"/>
          <c:order val="4"/>
          <c:tx>
            <c:strRef>
              <c:f>Age!$A$32</c:f>
              <c:strCache>
                <c:ptCount val="1"/>
                <c:pt idx="0">
                  <c:v>30 – 39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Age!$B$32:$E$32</c:f>
              <c:numCache>
                <c:formatCode>General</c:formatCode>
                <c:ptCount val="4"/>
                <c:pt idx="0">
                  <c:v>0</c:v>
                </c:pt>
                <c:pt idx="1">
                  <c:v>25</c:v>
                </c:pt>
                <c:pt idx="2">
                  <c:v>16</c:v>
                </c:pt>
                <c:pt idx="3">
                  <c:v>21</c:v>
                </c:pt>
              </c:numCache>
            </c:numRef>
          </c:val>
        </c:ser>
        <c:ser>
          <c:idx val="5"/>
          <c:order val="5"/>
          <c:tx>
            <c:strRef>
              <c:f>Age!$A$33</c:f>
              <c:strCache>
                <c:ptCount val="1"/>
                <c:pt idx="0">
                  <c:v>40 – 49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Age!$B$33:$E$33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</c:numCache>
            </c:numRef>
          </c:val>
        </c:ser>
        <c:ser>
          <c:idx val="6"/>
          <c:order val="6"/>
          <c:tx>
            <c:strRef>
              <c:f>Age!$A$34</c:f>
              <c:strCache>
                <c:ptCount val="1"/>
                <c:pt idx="0">
                  <c:v>50 – 59</c:v>
                </c:pt>
              </c:strCache>
            </c:strRef>
          </c:tx>
          <c:spPr>
            <a:solidFill>
              <a:srgbClr val="264478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Age!$B$34:$E$34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</c:numCache>
            </c:numRef>
          </c:val>
        </c:ser>
        <c:ser>
          <c:idx val="7"/>
          <c:order val="7"/>
          <c:tx>
            <c:strRef>
              <c:f>Age!$A$35</c:f>
              <c:strCache>
                <c:ptCount val="1"/>
                <c:pt idx="0">
                  <c:v>60 – 69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Age!$B$35:$E$35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ser>
          <c:idx val="8"/>
          <c:order val="8"/>
          <c:tx>
            <c:strRef>
              <c:f>Age!$A$36</c:f>
              <c:strCache>
                <c:ptCount val="1"/>
                <c:pt idx="0">
                  <c:v>70++</c:v>
                </c:pt>
              </c:strCache>
            </c:strRef>
          </c:tx>
          <c:spPr>
            <a:solidFill>
              <a:srgbClr val="636363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Age!$B$36:$E$36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79"/>
        <c:shape val="box"/>
        <c:axId val="5129248"/>
        <c:axId val="97168847"/>
        <c:axId val="0"/>
      </c:bar3DChart>
      <c:catAx>
        <c:axId val="51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109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168847"/>
        <c:crosses val="autoZero"/>
        <c:auto val="1"/>
        <c:lblAlgn val="ctr"/>
        <c:lblOffset val="100"/>
        <c:noMultiLvlLbl val="0"/>
      </c:catAx>
      <c:valAx>
        <c:axId val="97168847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0" lang="en-IN" sz="9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IN" sz="900" spc="-1" strike="noStrike">
                    <a:solidFill>
                      <a:srgbClr val="595959"/>
                    </a:solidFill>
                    <a:latin typeface="Calibri"/>
                  </a:rPr>
                  <a:t>PERCENTAGES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129248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bar3DChart>
        <c:barDir val="bar"/>
        <c:grouping val="percentStacked"/>
        <c:varyColors val="0"/>
        <c:ser>
          <c:idx val="0"/>
          <c:order val="0"/>
          <c:tx>
            <c:strRef>
              <c:f>Age!$A$59</c:f>
              <c:strCache>
                <c:ptCount val="1"/>
                <c:pt idx="0">
                  <c:v>0 – 2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Age!$B$59:$E$59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Age!$A$60</c:f>
              <c:strCache>
                <c:ptCount val="1"/>
                <c:pt idx="0">
                  <c:v>3 – 9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Age!$B$60:$E$60</c:f>
              <c:numCache>
                <c:formatCode>General</c:formatCode>
                <c:ptCount val="4"/>
                <c:pt idx="0">
                  <c:v>0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</c:numCache>
            </c:numRef>
          </c:val>
        </c:ser>
        <c:ser>
          <c:idx val="2"/>
          <c:order val="2"/>
          <c:tx>
            <c:strRef>
              <c:f>Age!$A$61</c:f>
              <c:strCache>
                <c:ptCount val="1"/>
                <c:pt idx="0">
                  <c:v>10 – 19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Age!$B$61:$E$61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</c:ser>
        <c:ser>
          <c:idx val="3"/>
          <c:order val="3"/>
          <c:tx>
            <c:strRef>
              <c:f>Age!$A$62</c:f>
              <c:strCache>
                <c:ptCount val="1"/>
                <c:pt idx="0">
                  <c:v>20 – 29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Age!$B$62:$E$62</c:f>
              <c:numCache>
                <c:formatCode>General</c:formatCode>
                <c:ptCount val="4"/>
                <c:pt idx="0">
                  <c:v>0</c:v>
                </c:pt>
                <c:pt idx="1">
                  <c:v>39</c:v>
                </c:pt>
                <c:pt idx="2">
                  <c:v>39</c:v>
                </c:pt>
                <c:pt idx="3">
                  <c:v>34</c:v>
                </c:pt>
              </c:numCache>
            </c:numRef>
          </c:val>
        </c:ser>
        <c:ser>
          <c:idx val="4"/>
          <c:order val="4"/>
          <c:tx>
            <c:strRef>
              <c:f>Age!$A$63</c:f>
              <c:strCache>
                <c:ptCount val="1"/>
                <c:pt idx="0">
                  <c:v>30 – 39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Age!$B$63:$E$63</c:f>
              <c:numCache>
                <c:formatCode>General</c:formatCode>
                <c:ptCount val="4"/>
                <c:pt idx="0">
                  <c:v>0</c:v>
                </c:pt>
                <c:pt idx="1">
                  <c:v>25</c:v>
                </c:pt>
                <c:pt idx="2">
                  <c:v>21</c:v>
                </c:pt>
                <c:pt idx="3">
                  <c:v>21</c:v>
                </c:pt>
              </c:numCache>
            </c:numRef>
          </c:val>
        </c:ser>
        <c:ser>
          <c:idx val="5"/>
          <c:order val="5"/>
          <c:tx>
            <c:strRef>
              <c:f>Age!$A$64</c:f>
              <c:strCache>
                <c:ptCount val="1"/>
                <c:pt idx="0">
                  <c:v>40 – 49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Age!$B$64:$E$64</c:f>
              <c:numCache>
                <c:formatCode>General</c:formatCode>
                <c:ptCount val="4"/>
                <c:pt idx="0">
                  <c:v>0</c:v>
                </c:pt>
                <c:pt idx="1">
                  <c:v>9</c:v>
                </c:pt>
                <c:pt idx="2">
                  <c:v>9</c:v>
                </c:pt>
                <c:pt idx="3">
                  <c:v>11</c:v>
                </c:pt>
              </c:numCache>
            </c:numRef>
          </c:val>
        </c:ser>
        <c:ser>
          <c:idx val="6"/>
          <c:order val="6"/>
          <c:tx>
            <c:strRef>
              <c:f>Age!$A$65</c:f>
              <c:strCache>
                <c:ptCount val="1"/>
                <c:pt idx="0">
                  <c:v>50 – 59</c:v>
                </c:pt>
              </c:strCache>
            </c:strRef>
          </c:tx>
          <c:spPr>
            <a:solidFill>
              <a:srgbClr val="264478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Age!$B$65:$E$65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</c:ser>
        <c:ser>
          <c:idx val="7"/>
          <c:order val="7"/>
          <c:tx>
            <c:strRef>
              <c:f>Age!$A$66</c:f>
              <c:strCache>
                <c:ptCount val="1"/>
                <c:pt idx="0">
                  <c:v>60 – 69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Age!$B$66:$E$66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ser>
          <c:idx val="8"/>
          <c:order val="8"/>
          <c:tx>
            <c:strRef>
              <c:f>Age!$A$67</c:f>
              <c:strCache>
                <c:ptCount val="1"/>
                <c:pt idx="0">
                  <c:v>70++</c:v>
                </c:pt>
              </c:strCache>
            </c:strRef>
          </c:tx>
          <c:spPr>
            <a:solidFill>
              <a:srgbClr val="636363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1" sz="8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Age!$B$67:$E$67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79"/>
        <c:shape val="box"/>
        <c:axId val="53829216"/>
        <c:axId val="37422640"/>
        <c:axId val="0"/>
      </c:bar3DChart>
      <c:catAx>
        <c:axId val="538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109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422640"/>
        <c:crosses val="autoZero"/>
        <c:auto val="1"/>
        <c:lblAlgn val="ctr"/>
        <c:lblOffset val="100"/>
        <c:noMultiLvlLbl val="0"/>
      </c:catAx>
      <c:valAx>
        <c:axId val="37422640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0" lang="en-IN" sz="9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IN" sz="900" spc="-1" strike="noStrike">
                    <a:solidFill>
                      <a:srgbClr val="595959"/>
                    </a:solidFill>
                    <a:latin typeface="Calibri"/>
                  </a:rPr>
                  <a:t>PERCENTAGES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829216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Age!$B$74</c:f>
              <c:strCache>
                <c:ptCount val="1"/>
                <c:pt idx="0">
                  <c:v>Dataset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Age!$A$75:$A$77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Age!$B$75:$B$77</c:f>
              <c:numCache>
                <c:formatCode>General</c:formatCode>
                <c:ptCount val="3"/>
                <c:pt idx="0">
                  <c:v>0.2</c:v>
                </c:pt>
                <c:pt idx="1">
                  <c:v>0.1</c:v>
                </c:pt>
                <c:pt idx="2">
                  <c:v>0.1</c:v>
                </c:pt>
              </c:numCache>
            </c:numRef>
          </c:val>
        </c:ser>
        <c:ser>
          <c:idx val="1"/>
          <c:order val="1"/>
          <c:tx>
            <c:strRef>
              <c:f>Age!$C$74</c:f>
              <c:strCache>
                <c:ptCount val="1"/>
                <c:pt idx="0">
                  <c:v>DDPM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Age!$A$75:$A$77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Age!$C$75:$C$77</c:f>
              <c:numCache>
                <c:formatCode>General</c:formatCode>
                <c:ptCount val="3"/>
                <c:pt idx="0">
                  <c:v>0.27</c:v>
                </c:pt>
                <c:pt idx="1">
                  <c:v>0.14</c:v>
                </c:pt>
                <c:pt idx="2">
                  <c:v>0.12</c:v>
                </c:pt>
              </c:numCache>
            </c:numRef>
          </c:val>
        </c:ser>
        <c:ser>
          <c:idx val="2"/>
          <c:order val="2"/>
          <c:tx>
            <c:strRef>
              <c:f>Age!$D$74</c:f>
              <c:strCache>
                <c:ptCount val="1"/>
                <c:pt idx="0">
                  <c:v>DDGAN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Age!$A$75:$A$77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Age!$D$75:$D$77</c:f>
              <c:numCache>
                <c:formatCode>General</c:formatCode>
                <c:ptCount val="3"/>
                <c:pt idx="0">
                  <c:v>0.21</c:v>
                </c:pt>
                <c:pt idx="1">
                  <c:v>0.15</c:v>
                </c:pt>
                <c:pt idx="2">
                  <c:v>0.12</c:v>
                </c:pt>
              </c:numCache>
            </c:numRef>
          </c:val>
        </c:ser>
        <c:ser>
          <c:idx val="3"/>
          <c:order val="3"/>
          <c:tx>
            <c:strRef>
              <c:f>Age!$E$74</c:f>
              <c:strCache>
                <c:ptCount val="1"/>
                <c:pt idx="0">
                  <c:v>LDM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Age!$A$75:$A$77</c:f>
              <c:strCache>
                <c:ptCount val="3"/>
                <c:pt idx="0">
                  <c:v>CelebA-HQ</c:v>
                </c:pt>
                <c:pt idx="1">
                  <c:v>FairFace</c:v>
                </c:pt>
                <c:pt idx="2">
                  <c:v>Bal-FairFace</c:v>
                </c:pt>
              </c:strCache>
            </c:strRef>
          </c:cat>
          <c:val>
            <c:numRef>
              <c:f>Age!$E$75:$E$77</c:f>
              <c:numCache>
                <c:formatCode>General</c:formatCode>
                <c:ptCount val="3"/>
                <c:pt idx="0">
                  <c:v>0.22</c:v>
                </c:pt>
              </c:numCache>
            </c:numRef>
          </c:val>
        </c:ser>
        <c:gapWidth val="100"/>
        <c:overlap val="0"/>
        <c:axId val="41057794"/>
        <c:axId val="5438135"/>
      </c:barChart>
      <c:catAx>
        <c:axId val="410577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438135"/>
        <c:crosses val="autoZero"/>
        <c:auto val="1"/>
        <c:lblAlgn val="ctr"/>
        <c:lblOffset val="100"/>
        <c:noMultiLvlLbl val="0"/>
      </c:catAx>
      <c:valAx>
        <c:axId val="543813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057794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Age!$A$2</c:f>
              <c:strCache>
                <c:ptCount val="1"/>
                <c:pt idx="0">
                  <c:v>10 – 19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Age!$B$2:$E$2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Age!$A$3</c:f>
              <c:strCache>
                <c:ptCount val="1"/>
                <c:pt idx="0">
                  <c:v>20 – 29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Age!$B$3:$E$3</c:f>
              <c:numCache>
                <c:formatCode>General</c:formatCode>
                <c:ptCount val="4"/>
                <c:pt idx="0">
                  <c:v>67</c:v>
                </c:pt>
                <c:pt idx="1">
                  <c:v>60</c:v>
                </c:pt>
                <c:pt idx="2">
                  <c:v>80</c:v>
                </c:pt>
                <c:pt idx="3">
                  <c:v>61</c:v>
                </c:pt>
              </c:numCache>
            </c:numRef>
          </c:val>
        </c:ser>
        <c:ser>
          <c:idx val="2"/>
          <c:order val="2"/>
          <c:tx>
            <c:strRef>
              <c:f>Age!$A$4</c:f>
              <c:strCache>
                <c:ptCount val="1"/>
                <c:pt idx="0">
                  <c:v>30 – 39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Age!$B$4:$E$4</c:f>
              <c:numCache>
                <c:formatCode>General</c:formatCode>
                <c:ptCount val="4"/>
                <c:pt idx="0">
                  <c:v>16</c:v>
                </c:pt>
                <c:pt idx="1">
                  <c:v>28</c:v>
                </c:pt>
                <c:pt idx="2">
                  <c:v>14</c:v>
                </c:pt>
                <c:pt idx="3">
                  <c:v>21</c:v>
                </c:pt>
              </c:numCache>
            </c:numRef>
          </c:val>
        </c:ser>
        <c:ser>
          <c:idx val="3"/>
          <c:order val="3"/>
          <c:tx>
            <c:strRef>
              <c:f>Age!$A$5</c:f>
              <c:strCache>
                <c:ptCount val="1"/>
                <c:pt idx="0">
                  <c:v>40 – 49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Age!$B$5:$E$5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</c:ser>
        <c:ser>
          <c:idx val="4"/>
          <c:order val="4"/>
          <c:tx>
            <c:strRef>
              <c:f>Age!$A$6</c:f>
              <c:strCache>
                <c:ptCount val="1"/>
                <c:pt idx="0">
                  <c:v>50 – 59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Age!$B$6:$E$6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</c:ser>
        <c:ser>
          <c:idx val="5"/>
          <c:order val="5"/>
          <c:tx>
            <c:strRef>
              <c:f>Age!$A$7</c:f>
              <c:strCache>
                <c:ptCount val="1"/>
                <c:pt idx="0">
                  <c:v>60 – 69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Age!$B$7:$E$7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ser>
          <c:idx val="6"/>
          <c:order val="6"/>
          <c:tx>
            <c:strRef>
              <c:f>Age!$A$8</c:f>
              <c:strCache>
                <c:ptCount val="1"/>
                <c:pt idx="0">
                  <c:v>70++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Age!$B$1:$E$1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100"/>
        <c:overlap val="100"/>
        <c:axId val="18888085"/>
        <c:axId val="17308811"/>
      </c:barChart>
      <c:catAx>
        <c:axId val="1888808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308811"/>
        <c:crosses val="autoZero"/>
        <c:auto val="1"/>
        <c:lblAlgn val="ctr"/>
        <c:lblOffset val="100"/>
        <c:noMultiLvlLbl val="0"/>
      </c:catAx>
      <c:valAx>
        <c:axId val="1730881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-4009]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8888085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Age!$A$28</c:f>
              <c:strCache>
                <c:ptCount val="1"/>
                <c:pt idx="0">
                  <c:v>0 – 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Age!$B$28:$E$28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Age!$A$29</c:f>
              <c:strCache>
                <c:ptCount val="1"/>
                <c:pt idx="0">
                  <c:v>3 – 9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Age!$B$29:$E$29</c:f>
              <c:numCache>
                <c:formatCode>General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</c:ser>
        <c:ser>
          <c:idx val="2"/>
          <c:order val="2"/>
          <c:tx>
            <c:strRef>
              <c:f>Age!$A$30</c:f>
              <c:strCache>
                <c:ptCount val="1"/>
                <c:pt idx="0">
                  <c:v>10 – 19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Age!$B$30:$E$30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19</c:v>
                </c:pt>
                <c:pt idx="3">
                  <c:v>8</c:v>
                </c:pt>
              </c:numCache>
            </c:numRef>
          </c:val>
        </c:ser>
        <c:ser>
          <c:idx val="3"/>
          <c:order val="3"/>
          <c:tx>
            <c:strRef>
              <c:f>Age!$A$31</c:f>
              <c:strCache>
                <c:ptCount val="1"/>
                <c:pt idx="0">
                  <c:v>20 – 29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Age!$B$31:$E$31</c:f>
              <c:numCache>
                <c:formatCode>General</c:formatCode>
                <c:ptCount val="4"/>
                <c:pt idx="0">
                  <c:v>0</c:v>
                </c:pt>
                <c:pt idx="1">
                  <c:v>49</c:v>
                </c:pt>
                <c:pt idx="2">
                  <c:v>45</c:v>
                </c:pt>
                <c:pt idx="3">
                  <c:v>35</c:v>
                </c:pt>
              </c:numCache>
            </c:numRef>
          </c:val>
        </c:ser>
        <c:ser>
          <c:idx val="4"/>
          <c:order val="4"/>
          <c:tx>
            <c:strRef>
              <c:f>Age!$A$32</c:f>
              <c:strCache>
                <c:ptCount val="1"/>
                <c:pt idx="0">
                  <c:v>30 – 39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Age!$B$32:$E$32</c:f>
              <c:numCache>
                <c:formatCode>General</c:formatCode>
                <c:ptCount val="4"/>
                <c:pt idx="0">
                  <c:v>0</c:v>
                </c:pt>
                <c:pt idx="1">
                  <c:v>25</c:v>
                </c:pt>
                <c:pt idx="2">
                  <c:v>16</c:v>
                </c:pt>
                <c:pt idx="3">
                  <c:v>21</c:v>
                </c:pt>
              </c:numCache>
            </c:numRef>
          </c:val>
        </c:ser>
        <c:ser>
          <c:idx val="5"/>
          <c:order val="5"/>
          <c:tx>
            <c:strRef>
              <c:f>Age!$A$33</c:f>
              <c:strCache>
                <c:ptCount val="1"/>
                <c:pt idx="0">
                  <c:v>40 – 49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Age!$B$33:$E$33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</c:numCache>
            </c:numRef>
          </c:val>
        </c:ser>
        <c:ser>
          <c:idx val="6"/>
          <c:order val="6"/>
          <c:tx>
            <c:strRef>
              <c:f>Age!$A$34</c:f>
              <c:strCache>
                <c:ptCount val="1"/>
                <c:pt idx="0">
                  <c:v>50 – 59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Age!$B$34:$E$34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</c:numCache>
            </c:numRef>
          </c:val>
        </c:ser>
        <c:ser>
          <c:idx val="7"/>
          <c:order val="7"/>
          <c:tx>
            <c:strRef>
              <c:f>Age!$A$35</c:f>
              <c:strCache>
                <c:ptCount val="1"/>
                <c:pt idx="0">
                  <c:v>60 – 69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Age!$B$35:$E$35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ser>
          <c:idx val="8"/>
          <c:order val="8"/>
          <c:tx>
            <c:strRef>
              <c:f>Age!$A$36</c:f>
              <c:strCache>
                <c:ptCount val="1"/>
                <c:pt idx="0">
                  <c:v>70++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Age!$B$27:$E$27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Age!$B$36:$E$36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100"/>
        <c:overlap val="100"/>
        <c:axId val="83085861"/>
        <c:axId val="97202994"/>
      </c:barChart>
      <c:catAx>
        <c:axId val="8308586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202994"/>
        <c:crosses val="autoZero"/>
        <c:auto val="1"/>
        <c:lblAlgn val="ctr"/>
        <c:lblOffset val="100"/>
        <c:noMultiLvlLbl val="0"/>
      </c:catAx>
      <c:valAx>
        <c:axId val="9720299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-4009]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085861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Age!$A$59</c:f>
              <c:strCache>
                <c:ptCount val="1"/>
                <c:pt idx="0">
                  <c:v>0 – 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Age!$B$59:$E$59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Age!$A$60</c:f>
              <c:strCache>
                <c:ptCount val="1"/>
                <c:pt idx="0">
                  <c:v>3 – 9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Age!$B$60:$E$60</c:f>
              <c:numCache>
                <c:formatCode>General</c:formatCode>
                <c:ptCount val="4"/>
                <c:pt idx="0">
                  <c:v>0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</c:numCache>
            </c:numRef>
          </c:val>
        </c:ser>
        <c:ser>
          <c:idx val="2"/>
          <c:order val="2"/>
          <c:tx>
            <c:strRef>
              <c:f>Age!$A$61</c:f>
              <c:strCache>
                <c:ptCount val="1"/>
                <c:pt idx="0">
                  <c:v>10 – 19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Age!$B$61:$E$61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</c:ser>
        <c:ser>
          <c:idx val="3"/>
          <c:order val="3"/>
          <c:tx>
            <c:strRef>
              <c:f>Age!$A$62</c:f>
              <c:strCache>
                <c:ptCount val="1"/>
                <c:pt idx="0">
                  <c:v>20 – 29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Age!$B$62:$E$62</c:f>
              <c:numCache>
                <c:formatCode>General</c:formatCode>
                <c:ptCount val="4"/>
                <c:pt idx="0">
                  <c:v>0</c:v>
                </c:pt>
                <c:pt idx="1">
                  <c:v>39</c:v>
                </c:pt>
                <c:pt idx="2">
                  <c:v>39</c:v>
                </c:pt>
                <c:pt idx="3">
                  <c:v>34</c:v>
                </c:pt>
              </c:numCache>
            </c:numRef>
          </c:val>
        </c:ser>
        <c:ser>
          <c:idx val="4"/>
          <c:order val="4"/>
          <c:tx>
            <c:strRef>
              <c:f>Age!$A$63</c:f>
              <c:strCache>
                <c:ptCount val="1"/>
                <c:pt idx="0">
                  <c:v>30 – 39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Age!$B$63:$E$63</c:f>
              <c:numCache>
                <c:formatCode>General</c:formatCode>
                <c:ptCount val="4"/>
                <c:pt idx="0">
                  <c:v>0</c:v>
                </c:pt>
                <c:pt idx="1">
                  <c:v>25</c:v>
                </c:pt>
                <c:pt idx="2">
                  <c:v>21</c:v>
                </c:pt>
                <c:pt idx="3">
                  <c:v>21</c:v>
                </c:pt>
              </c:numCache>
            </c:numRef>
          </c:val>
        </c:ser>
        <c:ser>
          <c:idx val="5"/>
          <c:order val="5"/>
          <c:tx>
            <c:strRef>
              <c:f>Age!$A$64</c:f>
              <c:strCache>
                <c:ptCount val="1"/>
                <c:pt idx="0">
                  <c:v>40 – 49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Age!$B$64:$E$64</c:f>
              <c:numCache>
                <c:formatCode>General</c:formatCode>
                <c:ptCount val="4"/>
                <c:pt idx="0">
                  <c:v>0</c:v>
                </c:pt>
                <c:pt idx="1">
                  <c:v>9</c:v>
                </c:pt>
                <c:pt idx="2">
                  <c:v>9</c:v>
                </c:pt>
                <c:pt idx="3">
                  <c:v>11</c:v>
                </c:pt>
              </c:numCache>
            </c:numRef>
          </c:val>
        </c:ser>
        <c:ser>
          <c:idx val="6"/>
          <c:order val="6"/>
          <c:tx>
            <c:strRef>
              <c:f>Age!$A$65</c:f>
              <c:strCache>
                <c:ptCount val="1"/>
                <c:pt idx="0">
                  <c:v>50 – 59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Age!$B$65:$E$65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</c:ser>
        <c:ser>
          <c:idx val="7"/>
          <c:order val="7"/>
          <c:tx>
            <c:strRef>
              <c:f>Age!$A$66</c:f>
              <c:strCache>
                <c:ptCount val="1"/>
                <c:pt idx="0">
                  <c:v>60 – 69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Age!$B$66:$E$66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ser>
          <c:idx val="8"/>
          <c:order val="8"/>
          <c:tx>
            <c:strRef>
              <c:f>Age!$A$67</c:f>
              <c:strCache>
                <c:ptCount val="1"/>
                <c:pt idx="0">
                  <c:v>70++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Age!$B$58:$E$58</c:f>
              <c:strCache>
                <c:ptCount val="4"/>
                <c:pt idx="0">
                  <c:v>LDM</c:v>
                </c:pt>
                <c:pt idx="1">
                  <c:v>DDGAN</c:v>
                </c:pt>
                <c:pt idx="2">
                  <c:v>DDPM</c:v>
                </c:pt>
                <c:pt idx="3">
                  <c:v>Train</c:v>
                </c:pt>
              </c:strCache>
            </c:strRef>
          </c:cat>
          <c:val>
            <c:numRef>
              <c:f>Age!$B$67:$E$67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100"/>
        <c:overlap val="100"/>
        <c:axId val="12735518"/>
        <c:axId val="55388242"/>
      </c:barChart>
      <c:catAx>
        <c:axId val="127355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5388242"/>
        <c:crosses val="autoZero"/>
        <c:auto val="1"/>
        <c:lblAlgn val="ctr"/>
        <c:lblOffset val="100"/>
        <c:noMultiLvlLbl val="0"/>
      </c:catAx>
      <c:valAx>
        <c:axId val="5538824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-4009]0%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2735518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Pt>
            <c:idx val="3"/>
            <c:invertIfNegative val="0"/>
            <c:spPr>
              <a:solidFill>
                <a:srgbClr val="4472c4"/>
              </a:solidFill>
              <a:ln>
                <a:noFill/>
              </a:ln>
            </c:spPr>
          </c:dPt>
          <c:dLbls>
            <c:numFmt formatCode="0.00%" sourceLinked="1"/>
            <c:dLbl>
              <c:idx val="3"/>
              <c:numFmt formatCode="0.0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Sheet1!$B$2:$E$2</c:f>
              <c:strCache>
                <c:ptCount val="4"/>
                <c:pt idx="0">
                  <c:v>Model 1</c:v>
                </c:pt>
                <c:pt idx="1">
                  <c:v>Model 2</c:v>
                </c:pt>
                <c:pt idx="2">
                  <c:v>Model 3</c:v>
                </c:pt>
                <c:pt idx="3">
                  <c:v>Model 4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0.83</c:v>
                </c:pt>
                <c:pt idx="1">
                  <c:v>0.89</c:v>
                </c:pt>
                <c:pt idx="2">
                  <c:v>0.82</c:v>
                </c:pt>
                <c:pt idx="3">
                  <c:v>0.91</c:v>
                </c:pt>
              </c:numCache>
            </c:numRef>
          </c:val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Indian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Pt>
            <c:idx val="3"/>
            <c:invertIfNegative val="0"/>
            <c:spPr>
              <a:solidFill>
                <a:srgbClr val="ed7d31"/>
              </a:solidFill>
              <a:ln>
                <a:noFill/>
              </a:ln>
            </c:spPr>
          </c:dPt>
          <c:dLbls>
            <c:numFmt formatCode="0.00%" sourceLinked="1"/>
            <c:dLbl>
              <c:idx val="3"/>
              <c:numFmt formatCode="0.0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Sheet1!$B$2:$E$2</c:f>
              <c:strCache>
                <c:ptCount val="4"/>
                <c:pt idx="0">
                  <c:v>Model 1</c:v>
                </c:pt>
                <c:pt idx="1">
                  <c:v>Model 2</c:v>
                </c:pt>
                <c:pt idx="2">
                  <c:v>Model 3</c:v>
                </c:pt>
                <c:pt idx="3">
                  <c:v>Model 4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0.05</c:v>
                </c:pt>
                <c:pt idx="1">
                  <c:v>0.02</c:v>
                </c:pt>
                <c:pt idx="2">
                  <c:v>0.1</c:v>
                </c:pt>
                <c:pt idx="3">
                  <c:v>0.02</c:v>
                </c:pt>
              </c:numCache>
            </c:numRef>
          </c:val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Pt>
            <c:idx val="3"/>
            <c:invertIfNegative val="0"/>
            <c:spPr>
              <a:solidFill>
                <a:srgbClr val="a5a5a5"/>
              </a:solidFill>
              <a:ln>
                <a:noFill/>
              </a:ln>
            </c:spPr>
          </c:dPt>
          <c:dLbls>
            <c:numFmt formatCode="0.00%" sourceLinked="1"/>
            <c:dLbl>
              <c:idx val="3"/>
              <c:numFmt formatCode="0.00%" sourceLinked="1"/>
              <c:txPr>
                <a:bodyPr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Sheet1!$B$2:$E$2</c:f>
              <c:strCache>
                <c:ptCount val="4"/>
                <c:pt idx="0">
                  <c:v>Model 1</c:v>
                </c:pt>
                <c:pt idx="1">
                  <c:v>Model 2</c:v>
                </c:pt>
                <c:pt idx="2">
                  <c:v>Model 3</c:v>
                </c:pt>
                <c:pt idx="3">
                  <c:v>Model 4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0.07</c:v>
                </c:pt>
                <c:pt idx="1">
                  <c:v>0.04</c:v>
                </c:pt>
                <c:pt idx="2">
                  <c:v>0.06</c:v>
                </c:pt>
                <c:pt idx="3">
                  <c:v>0.04</c:v>
                </c:pt>
              </c:numCache>
            </c:numRef>
          </c:val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dPt>
            <c:idx val="3"/>
            <c:invertIfNegative val="0"/>
            <c:spPr>
              <a:solidFill>
                <a:srgbClr val="ffc000"/>
              </a:solidFill>
              <a:ln>
                <a:noFill/>
              </a:ln>
            </c:spPr>
          </c:dPt>
          <c:dLbls>
            <c:numFmt formatCode="0.00%" sourceLinked="1"/>
            <c:dLbl>
              <c:idx val="3"/>
              <c:numFmt formatCode="0.0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Sheet1!$B$2:$E$2</c:f>
              <c:strCache>
                <c:ptCount val="4"/>
                <c:pt idx="0">
                  <c:v>Model 1</c:v>
                </c:pt>
                <c:pt idx="1">
                  <c:v>Model 2</c:v>
                </c:pt>
                <c:pt idx="2">
                  <c:v>Model 3</c:v>
                </c:pt>
                <c:pt idx="3">
                  <c:v>Model 4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0.05</c:v>
                </c:pt>
                <c:pt idx="1">
                  <c:v>0.05</c:v>
                </c:pt>
                <c:pt idx="2">
                  <c:v>0.02</c:v>
                </c:pt>
                <c:pt idx="3">
                  <c:v>0.03</c:v>
                </c:pt>
              </c:numCache>
            </c:numRef>
          </c:val>
        </c:ser>
        <c:gapWidth val="150"/>
        <c:overlap val="100"/>
        <c:axId val="13374022"/>
        <c:axId val="11321420"/>
      </c:barChart>
      <c:catAx>
        <c:axId val="133740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321420"/>
        <c:crosses val="autoZero"/>
        <c:auto val="1"/>
        <c:lblAlgn val="ctr"/>
        <c:lblOffset val="100"/>
        <c:noMultiLvlLbl val="0"/>
      </c:catAx>
      <c:valAx>
        <c:axId val="113214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3374022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23.xml"/><Relationship Id="rId2" Type="http://schemas.openxmlformats.org/officeDocument/2006/relationships/chart" Target="../charts/chart124.xml"/><Relationship Id="rId3" Type="http://schemas.openxmlformats.org/officeDocument/2006/relationships/chart" Target="../charts/chart125.xml"/><Relationship Id="rId4" Type="http://schemas.openxmlformats.org/officeDocument/2006/relationships/chart" Target="../charts/chart126.xml"/><Relationship Id="rId5" Type="http://schemas.openxmlformats.org/officeDocument/2006/relationships/chart" Target="../charts/chart127.xml"/><Relationship Id="rId6" Type="http://schemas.openxmlformats.org/officeDocument/2006/relationships/chart" Target="../charts/chart128.xml"/><Relationship Id="rId7" Type="http://schemas.openxmlformats.org/officeDocument/2006/relationships/chart" Target="../charts/chart129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30.xml"/><Relationship Id="rId2" Type="http://schemas.openxmlformats.org/officeDocument/2006/relationships/chart" Target="../charts/chart131.xml"/><Relationship Id="rId3" Type="http://schemas.openxmlformats.org/officeDocument/2006/relationships/chart" Target="../charts/chart132.xml"/><Relationship Id="rId4" Type="http://schemas.openxmlformats.org/officeDocument/2006/relationships/chart" Target="../charts/chart133.xml"/><Relationship Id="rId5" Type="http://schemas.openxmlformats.org/officeDocument/2006/relationships/chart" Target="../charts/chart134.xml"/><Relationship Id="rId6" Type="http://schemas.openxmlformats.org/officeDocument/2006/relationships/chart" Target="../charts/chart135.xml"/><Relationship Id="rId7" Type="http://schemas.openxmlformats.org/officeDocument/2006/relationships/chart" Target="../charts/chart13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37.xml"/><Relationship Id="rId2" Type="http://schemas.openxmlformats.org/officeDocument/2006/relationships/chart" Target="../charts/chart138.xml"/><Relationship Id="rId3" Type="http://schemas.openxmlformats.org/officeDocument/2006/relationships/chart" Target="../charts/chart139.xml"/><Relationship Id="rId4" Type="http://schemas.openxmlformats.org/officeDocument/2006/relationships/chart" Target="../charts/chart140.xml"/><Relationship Id="rId5" Type="http://schemas.openxmlformats.org/officeDocument/2006/relationships/chart" Target="../charts/chart141.xml"/><Relationship Id="rId6" Type="http://schemas.openxmlformats.org/officeDocument/2006/relationships/chart" Target="../charts/chart142.xml"/><Relationship Id="rId7" Type="http://schemas.openxmlformats.org/officeDocument/2006/relationships/chart" Target="../charts/chart14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4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73080</xdr:colOff>
      <xdr:row>0</xdr:row>
      <xdr:rowOff>93960</xdr:rowOff>
    </xdr:from>
    <xdr:to>
      <xdr:col>20</xdr:col>
      <xdr:colOff>376920</xdr:colOff>
      <xdr:row>15</xdr:row>
      <xdr:rowOff>163080</xdr:rowOff>
    </xdr:to>
    <xdr:graphicFrame>
      <xdr:nvGraphicFramePr>
        <xdr:cNvPr id="0" name="Chart 1"/>
        <xdr:cNvGraphicFramePr/>
      </xdr:nvGraphicFramePr>
      <xdr:xfrm>
        <a:off x="9945720" y="93960"/>
        <a:ext cx="5620320" cy="275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98280</xdr:colOff>
      <xdr:row>16</xdr:row>
      <xdr:rowOff>101520</xdr:rowOff>
    </xdr:from>
    <xdr:to>
      <xdr:col>20</xdr:col>
      <xdr:colOff>402120</xdr:colOff>
      <xdr:row>31</xdr:row>
      <xdr:rowOff>90720</xdr:rowOff>
    </xdr:to>
    <xdr:graphicFrame>
      <xdr:nvGraphicFramePr>
        <xdr:cNvPr id="1" name="Chart 2"/>
        <xdr:cNvGraphicFramePr/>
      </xdr:nvGraphicFramePr>
      <xdr:xfrm>
        <a:off x="9970920" y="2967840"/>
        <a:ext cx="5620320" cy="27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132120</xdr:colOff>
      <xdr:row>32</xdr:row>
      <xdr:rowOff>57600</xdr:rowOff>
    </xdr:from>
    <xdr:to>
      <xdr:col>20</xdr:col>
      <xdr:colOff>449280</xdr:colOff>
      <xdr:row>47</xdr:row>
      <xdr:rowOff>128520</xdr:rowOff>
    </xdr:to>
    <xdr:graphicFrame>
      <xdr:nvGraphicFramePr>
        <xdr:cNvPr id="2" name="Chart 3"/>
        <xdr:cNvGraphicFramePr/>
      </xdr:nvGraphicFramePr>
      <xdr:xfrm>
        <a:off x="10004760" y="5852520"/>
        <a:ext cx="5633640" cy="281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123840</xdr:colOff>
      <xdr:row>0</xdr:row>
      <xdr:rowOff>82080</xdr:rowOff>
    </xdr:from>
    <xdr:to>
      <xdr:col>13</xdr:col>
      <xdr:colOff>567360</xdr:colOff>
      <xdr:row>18</xdr:row>
      <xdr:rowOff>87120</xdr:rowOff>
    </xdr:to>
    <xdr:graphicFrame>
      <xdr:nvGraphicFramePr>
        <xdr:cNvPr id="3" name=""/>
        <xdr:cNvGraphicFramePr/>
      </xdr:nvGraphicFramePr>
      <xdr:xfrm>
        <a:off x="4680360" y="82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86400</xdr:colOff>
      <xdr:row>1</xdr:row>
      <xdr:rowOff>132120</xdr:rowOff>
    </xdr:from>
    <xdr:to>
      <xdr:col>28</xdr:col>
      <xdr:colOff>529560</xdr:colOff>
      <xdr:row>19</xdr:row>
      <xdr:rowOff>136800</xdr:rowOff>
    </xdr:to>
    <xdr:graphicFrame>
      <xdr:nvGraphicFramePr>
        <xdr:cNvPr id="4" name=""/>
        <xdr:cNvGraphicFramePr/>
      </xdr:nvGraphicFramePr>
      <xdr:xfrm>
        <a:off x="16034760" y="307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173520</xdr:colOff>
      <xdr:row>20</xdr:row>
      <xdr:rowOff>155520</xdr:rowOff>
    </xdr:from>
    <xdr:to>
      <xdr:col>28</xdr:col>
      <xdr:colOff>616680</xdr:colOff>
      <xdr:row>38</xdr:row>
      <xdr:rowOff>98280</xdr:rowOff>
    </xdr:to>
    <xdr:graphicFrame>
      <xdr:nvGraphicFramePr>
        <xdr:cNvPr id="5" name=""/>
        <xdr:cNvGraphicFramePr/>
      </xdr:nvGraphicFramePr>
      <xdr:xfrm>
        <a:off x="16121880" y="3749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186120</xdr:colOff>
      <xdr:row>40</xdr:row>
      <xdr:rowOff>54000</xdr:rowOff>
    </xdr:from>
    <xdr:to>
      <xdr:col>28</xdr:col>
      <xdr:colOff>629280</xdr:colOff>
      <xdr:row>57</xdr:row>
      <xdr:rowOff>163080</xdr:rowOff>
    </xdr:to>
    <xdr:graphicFrame>
      <xdr:nvGraphicFramePr>
        <xdr:cNvPr id="6" name=""/>
        <xdr:cNvGraphicFramePr/>
      </xdr:nvGraphicFramePr>
      <xdr:xfrm>
        <a:off x="16134480" y="7304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330120</xdr:colOff>
      <xdr:row>1</xdr:row>
      <xdr:rowOff>76320</xdr:rowOff>
    </xdr:from>
    <xdr:to>
      <xdr:col>16</xdr:col>
      <xdr:colOff>38880</xdr:colOff>
      <xdr:row>16</xdr:row>
      <xdr:rowOff>79200</xdr:rowOff>
    </xdr:to>
    <xdr:graphicFrame>
      <xdr:nvGraphicFramePr>
        <xdr:cNvPr id="7" name="Chart 1"/>
        <xdr:cNvGraphicFramePr/>
      </xdr:nvGraphicFramePr>
      <xdr:xfrm>
        <a:off x="6405480" y="251280"/>
        <a:ext cx="5784480" cy="275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410760</xdr:colOff>
      <xdr:row>19</xdr:row>
      <xdr:rowOff>83520</xdr:rowOff>
    </xdr:from>
    <xdr:to>
      <xdr:col>16</xdr:col>
      <xdr:colOff>119520</xdr:colOff>
      <xdr:row>34</xdr:row>
      <xdr:rowOff>121680</xdr:rowOff>
    </xdr:to>
    <xdr:graphicFrame>
      <xdr:nvGraphicFramePr>
        <xdr:cNvPr id="8" name="Chart 2"/>
        <xdr:cNvGraphicFramePr/>
      </xdr:nvGraphicFramePr>
      <xdr:xfrm>
        <a:off x="6486120" y="3564360"/>
        <a:ext cx="5784480" cy="275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469440</xdr:colOff>
      <xdr:row>35</xdr:row>
      <xdr:rowOff>113040</xdr:rowOff>
    </xdr:from>
    <xdr:to>
      <xdr:col>16</xdr:col>
      <xdr:colOff>178200</xdr:colOff>
      <xdr:row>50</xdr:row>
      <xdr:rowOff>107280</xdr:rowOff>
    </xdr:to>
    <xdr:graphicFrame>
      <xdr:nvGraphicFramePr>
        <xdr:cNvPr id="9" name="Chart 3"/>
        <xdr:cNvGraphicFramePr/>
      </xdr:nvGraphicFramePr>
      <xdr:xfrm>
        <a:off x="6544800" y="6495840"/>
        <a:ext cx="5784480" cy="275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206640</xdr:colOff>
      <xdr:row>1</xdr:row>
      <xdr:rowOff>54720</xdr:rowOff>
    </xdr:from>
    <xdr:to>
      <xdr:col>23</xdr:col>
      <xdr:colOff>649800</xdr:colOff>
      <xdr:row>18</xdr:row>
      <xdr:rowOff>172440</xdr:rowOff>
    </xdr:to>
    <xdr:graphicFrame>
      <xdr:nvGraphicFramePr>
        <xdr:cNvPr id="10" name=""/>
        <xdr:cNvGraphicFramePr/>
      </xdr:nvGraphicFramePr>
      <xdr:xfrm>
        <a:off x="12357720" y="229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186120</xdr:colOff>
      <xdr:row>19</xdr:row>
      <xdr:rowOff>170280</xdr:rowOff>
    </xdr:from>
    <xdr:to>
      <xdr:col>23</xdr:col>
      <xdr:colOff>629280</xdr:colOff>
      <xdr:row>37</xdr:row>
      <xdr:rowOff>139680</xdr:rowOff>
    </xdr:to>
    <xdr:graphicFrame>
      <xdr:nvGraphicFramePr>
        <xdr:cNvPr id="11" name=""/>
        <xdr:cNvGraphicFramePr/>
      </xdr:nvGraphicFramePr>
      <xdr:xfrm>
        <a:off x="12337200" y="3651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285840</xdr:colOff>
      <xdr:row>39</xdr:row>
      <xdr:rowOff>59400</xdr:rowOff>
    </xdr:from>
    <xdr:to>
      <xdr:col>23</xdr:col>
      <xdr:colOff>729000</xdr:colOff>
      <xdr:row>56</xdr:row>
      <xdr:rowOff>168480</xdr:rowOff>
    </xdr:to>
    <xdr:graphicFrame>
      <xdr:nvGraphicFramePr>
        <xdr:cNvPr id="12" name=""/>
        <xdr:cNvGraphicFramePr/>
      </xdr:nvGraphicFramePr>
      <xdr:xfrm>
        <a:off x="12436920" y="7178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36360</xdr:colOff>
      <xdr:row>27</xdr:row>
      <xdr:rowOff>62640</xdr:rowOff>
    </xdr:from>
    <xdr:to>
      <xdr:col>12</xdr:col>
      <xdr:colOff>479880</xdr:colOff>
      <xdr:row>45</xdr:row>
      <xdr:rowOff>23400</xdr:rowOff>
    </xdr:to>
    <xdr:graphicFrame>
      <xdr:nvGraphicFramePr>
        <xdr:cNvPr id="13" name=""/>
        <xdr:cNvGraphicFramePr/>
      </xdr:nvGraphicFramePr>
      <xdr:xfrm>
        <a:off x="3833640" y="5007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320040</xdr:colOff>
      <xdr:row>1</xdr:row>
      <xdr:rowOff>0</xdr:rowOff>
    </xdr:from>
    <xdr:to>
      <xdr:col>34</xdr:col>
      <xdr:colOff>236880</xdr:colOff>
      <xdr:row>24</xdr:row>
      <xdr:rowOff>97920</xdr:rowOff>
    </xdr:to>
    <xdr:graphicFrame>
      <xdr:nvGraphicFramePr>
        <xdr:cNvPr id="14" name="Chart 1"/>
        <xdr:cNvGraphicFramePr/>
      </xdr:nvGraphicFramePr>
      <xdr:xfrm>
        <a:off x="14749560" y="174960"/>
        <a:ext cx="11308680" cy="43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320040</xdr:colOff>
      <xdr:row>26</xdr:row>
      <xdr:rowOff>72720</xdr:rowOff>
    </xdr:from>
    <xdr:to>
      <xdr:col>34</xdr:col>
      <xdr:colOff>233640</xdr:colOff>
      <xdr:row>48</xdr:row>
      <xdr:rowOff>158040</xdr:rowOff>
    </xdr:to>
    <xdr:graphicFrame>
      <xdr:nvGraphicFramePr>
        <xdr:cNvPr id="15" name="Chart 2"/>
        <xdr:cNvGraphicFramePr/>
      </xdr:nvGraphicFramePr>
      <xdr:xfrm>
        <a:off x="14749560" y="4851720"/>
        <a:ext cx="11305440" cy="412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334800</xdr:colOff>
      <xdr:row>49</xdr:row>
      <xdr:rowOff>101160</xdr:rowOff>
    </xdr:from>
    <xdr:to>
      <xdr:col>34</xdr:col>
      <xdr:colOff>279360</xdr:colOff>
      <xdr:row>71</xdr:row>
      <xdr:rowOff>94680</xdr:rowOff>
    </xdr:to>
    <xdr:graphicFrame>
      <xdr:nvGraphicFramePr>
        <xdr:cNvPr id="16" name="Chart 3"/>
        <xdr:cNvGraphicFramePr/>
      </xdr:nvGraphicFramePr>
      <xdr:xfrm>
        <a:off x="14764320" y="9106560"/>
        <a:ext cx="11336400" cy="403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36360</xdr:colOff>
      <xdr:row>73</xdr:row>
      <xdr:rowOff>62640</xdr:rowOff>
    </xdr:from>
    <xdr:to>
      <xdr:col>12</xdr:col>
      <xdr:colOff>479880</xdr:colOff>
      <xdr:row>91</xdr:row>
      <xdr:rowOff>23040</xdr:rowOff>
    </xdr:to>
    <xdr:graphicFrame>
      <xdr:nvGraphicFramePr>
        <xdr:cNvPr id="17" name=""/>
        <xdr:cNvGraphicFramePr/>
      </xdr:nvGraphicFramePr>
      <xdr:xfrm>
        <a:off x="3833640" y="13478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36360</xdr:colOff>
      <xdr:row>0</xdr:row>
      <xdr:rowOff>36000</xdr:rowOff>
    </xdr:from>
    <xdr:to>
      <xdr:col>12</xdr:col>
      <xdr:colOff>479880</xdr:colOff>
      <xdr:row>17</xdr:row>
      <xdr:rowOff>154080</xdr:rowOff>
    </xdr:to>
    <xdr:graphicFrame>
      <xdr:nvGraphicFramePr>
        <xdr:cNvPr id="18" name=""/>
        <xdr:cNvGraphicFramePr/>
      </xdr:nvGraphicFramePr>
      <xdr:xfrm>
        <a:off x="38336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36360</xdr:colOff>
      <xdr:row>26</xdr:row>
      <xdr:rowOff>44640</xdr:rowOff>
    </xdr:from>
    <xdr:to>
      <xdr:col>12</xdr:col>
      <xdr:colOff>479880</xdr:colOff>
      <xdr:row>43</xdr:row>
      <xdr:rowOff>162720</xdr:rowOff>
    </xdr:to>
    <xdr:graphicFrame>
      <xdr:nvGraphicFramePr>
        <xdr:cNvPr id="19" name=""/>
        <xdr:cNvGraphicFramePr/>
      </xdr:nvGraphicFramePr>
      <xdr:xfrm>
        <a:off x="3833640" y="4823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36360</xdr:colOff>
      <xdr:row>56</xdr:row>
      <xdr:rowOff>132480</xdr:rowOff>
    </xdr:from>
    <xdr:to>
      <xdr:col>12</xdr:col>
      <xdr:colOff>479880</xdr:colOff>
      <xdr:row>74</xdr:row>
      <xdr:rowOff>75240</xdr:rowOff>
    </xdr:to>
    <xdr:graphicFrame>
      <xdr:nvGraphicFramePr>
        <xdr:cNvPr id="20" name=""/>
        <xdr:cNvGraphicFramePr/>
      </xdr:nvGraphicFramePr>
      <xdr:xfrm>
        <a:off x="3833640" y="10427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441360</xdr:colOff>
      <xdr:row>1</xdr:row>
      <xdr:rowOff>25560</xdr:rowOff>
    </xdr:from>
    <xdr:to>
      <xdr:col>13</xdr:col>
      <xdr:colOff>135000</xdr:colOff>
      <xdr:row>16</xdr:row>
      <xdr:rowOff>5040</xdr:rowOff>
    </xdr:to>
    <xdr:graphicFrame>
      <xdr:nvGraphicFramePr>
        <xdr:cNvPr id="21" name="Chart 1"/>
        <xdr:cNvGraphicFramePr/>
      </xdr:nvGraphicFramePr>
      <xdr:xfrm>
        <a:off x="4238640" y="209520"/>
        <a:ext cx="576900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32" activeCellId="0" sqref="H32"/>
    </sheetView>
  </sheetViews>
  <sheetFormatPr defaultColWidth="8.54296875" defaultRowHeight="14.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3.8" hidden="false" customHeight="false" outlineLevel="0" collapsed="false">
      <c r="A2" s="1" t="s">
        <v>4</v>
      </c>
      <c r="B2" s="1" t="n">
        <v>91</v>
      </c>
      <c r="C2" s="1" t="n">
        <v>82</v>
      </c>
      <c r="D2" s="1" t="n">
        <v>89</v>
      </c>
      <c r="E2" s="1" t="n">
        <v>83</v>
      </c>
      <c r="F2" s="1" t="n">
        <v>0.83</v>
      </c>
    </row>
    <row r="3" customFormat="false" ht="13.8" hidden="false" customHeight="false" outlineLevel="0" collapsed="false">
      <c r="A3" s="1" t="s">
        <v>5</v>
      </c>
      <c r="B3" s="1" t="n">
        <v>3</v>
      </c>
      <c r="C3" s="1" t="n">
        <v>2</v>
      </c>
      <c r="D3" s="1" t="n">
        <v>5</v>
      </c>
      <c r="E3" s="1" t="n">
        <v>5</v>
      </c>
      <c r="F3" s="1" t="n">
        <v>0.05</v>
      </c>
    </row>
    <row r="4" customFormat="false" ht="13.8" hidden="false" customHeight="false" outlineLevel="0" collapsed="false">
      <c r="A4" s="1" t="s">
        <v>6</v>
      </c>
      <c r="B4" s="1" t="n">
        <v>4</v>
      </c>
      <c r="C4" s="1" t="n">
        <v>6</v>
      </c>
      <c r="D4" s="1" t="n">
        <v>4</v>
      </c>
      <c r="E4" s="1" t="n">
        <v>7</v>
      </c>
      <c r="F4" s="1" t="n">
        <v>0.07</v>
      </c>
    </row>
    <row r="5" customFormat="false" ht="13.8" hidden="false" customHeight="false" outlineLevel="0" collapsed="false">
      <c r="A5" s="1" t="s">
        <v>7</v>
      </c>
      <c r="B5" s="1" t="n">
        <v>2</v>
      </c>
      <c r="C5" s="1" t="n">
        <v>10</v>
      </c>
      <c r="D5" s="1" t="n">
        <v>2</v>
      </c>
      <c r="E5" s="1" t="n">
        <v>5</v>
      </c>
      <c r="F5" s="1" t="n">
        <v>0.05</v>
      </c>
    </row>
    <row r="6" customFormat="false" ht="13.8" hidden="false" customHeight="false" outlineLevel="0" collapsed="false">
      <c r="A6" s="1" t="s">
        <v>8</v>
      </c>
      <c r="B6" s="1" t="n">
        <f aca="false">_xlfn.STDEV.P(B2:B5)</f>
        <v>38.111678000319</v>
      </c>
      <c r="C6" s="1" t="n">
        <f aca="false">_xlfn.STDEV.P(C2:C5)</f>
        <v>33.0302891298275</v>
      </c>
      <c r="D6" s="1" t="n">
        <f aca="false">_xlfn.STDEV.P(D2:D5)</f>
        <v>36.966200778549</v>
      </c>
      <c r="E6" s="1" t="n">
        <f aca="false">_xlfn.STDEV.P(E2:E5)</f>
        <v>33.4962684488884</v>
      </c>
      <c r="F6" s="1" t="n">
        <f aca="false">_xlfn.STDEV.P(F2:F5)</f>
        <v>0.334962684488885</v>
      </c>
    </row>
    <row r="9" customFormat="false" ht="13.8" hidden="false" customHeight="false" outlineLevel="0" collapsed="false">
      <c r="B9" s="1" t="s">
        <v>9</v>
      </c>
      <c r="C9" s="1" t="s">
        <v>2</v>
      </c>
      <c r="D9" s="1" t="s">
        <v>1</v>
      </c>
      <c r="E9" s="1" t="s">
        <v>0</v>
      </c>
    </row>
    <row r="10" customFormat="false" ht="13.8" hidden="false" customHeight="false" outlineLevel="0" collapsed="false">
      <c r="A10" s="1" t="s">
        <v>10</v>
      </c>
      <c r="B10" s="1" t="n">
        <v>0.33</v>
      </c>
      <c r="C10" s="1" t="n">
        <v>0.37</v>
      </c>
      <c r="D10" s="1" t="n">
        <v>0.33</v>
      </c>
      <c r="E10" s="1" t="n">
        <v>0.38</v>
      </c>
    </row>
    <row r="11" customFormat="false" ht="14.5" hidden="false" customHeight="false" outlineLevel="0" collapsed="false">
      <c r="A11" s="0" t="s">
        <v>11</v>
      </c>
      <c r="B11" s="0" t="n">
        <v>0.08</v>
      </c>
      <c r="C11" s="0" t="n">
        <v>0.18</v>
      </c>
      <c r="D11" s="0" t="n">
        <v>0.12</v>
      </c>
      <c r="E11" s="0" t="s">
        <v>12</v>
      </c>
    </row>
    <row r="12" customFormat="false" ht="13.8" hidden="false" customHeight="false" outlineLevel="0" collapsed="false">
      <c r="A12" s="0" t="s">
        <v>13</v>
      </c>
      <c r="B12" s="0" t="n">
        <v>0</v>
      </c>
      <c r="C12" s="0" t="n">
        <v>0.11</v>
      </c>
      <c r="D12" s="0" t="n">
        <v>0.06</v>
      </c>
      <c r="E12" s="0" t="s">
        <v>12</v>
      </c>
    </row>
    <row r="19" customFormat="false" ht="13.8" hidden="false" customHeight="false" outlineLevel="0" collapsed="false">
      <c r="B19" s="1" t="s">
        <v>0</v>
      </c>
      <c r="C19" s="1" t="s">
        <v>1</v>
      </c>
      <c r="D19" s="1" t="s">
        <v>2</v>
      </c>
      <c r="E19" s="1" t="s">
        <v>3</v>
      </c>
    </row>
    <row r="20" customFormat="false" ht="14.5" hidden="false" customHeight="false" outlineLevel="0" collapsed="false">
      <c r="A20" s="1" t="s">
        <v>4</v>
      </c>
      <c r="B20" s="1" t="n">
        <v>0</v>
      </c>
      <c r="C20" s="1" t="n">
        <v>24</v>
      </c>
      <c r="D20" s="1" t="n">
        <v>51</v>
      </c>
      <c r="E20" s="1" t="n">
        <v>34</v>
      </c>
    </row>
    <row r="21" customFormat="false" ht="14.5" hidden="false" customHeight="false" outlineLevel="0" collapsed="false">
      <c r="A21" s="1" t="s">
        <v>5</v>
      </c>
      <c r="B21" s="1" t="n">
        <v>0</v>
      </c>
      <c r="C21" s="1" t="n">
        <v>19</v>
      </c>
      <c r="D21" s="1" t="n">
        <v>33</v>
      </c>
      <c r="E21" s="1" t="n">
        <v>31</v>
      </c>
    </row>
    <row r="22" customFormat="false" ht="14.5" hidden="false" customHeight="false" outlineLevel="0" collapsed="false">
      <c r="A22" s="1" t="s">
        <v>6</v>
      </c>
      <c r="B22" s="1" t="n">
        <v>0</v>
      </c>
      <c r="C22" s="1" t="n">
        <v>13</v>
      </c>
      <c r="D22" s="1" t="n">
        <v>7</v>
      </c>
      <c r="E22" s="1" t="n">
        <v>15</v>
      </c>
    </row>
    <row r="23" customFormat="false" ht="14.5" hidden="false" customHeight="false" outlineLevel="0" collapsed="false">
      <c r="A23" s="1" t="s">
        <v>7</v>
      </c>
      <c r="B23" s="1" t="n">
        <v>0</v>
      </c>
      <c r="C23" s="1" t="n">
        <v>44</v>
      </c>
      <c r="D23" s="1" t="n">
        <v>9</v>
      </c>
      <c r="E23" s="1" t="n">
        <v>20</v>
      </c>
    </row>
    <row r="24" customFormat="false" ht="13.8" hidden="false" customHeight="false" outlineLevel="0" collapsed="false">
      <c r="A24" s="1" t="s">
        <v>8</v>
      </c>
      <c r="C24" s="1" t="n">
        <f aca="false">_xlfn.STDEV.P(C20:C23)</f>
        <v>11.6404467268228</v>
      </c>
      <c r="D24" s="1" t="n">
        <f aca="false">_xlfn.STDEV.P(D20:D23)</f>
        <v>18.165902124585</v>
      </c>
      <c r="E24" s="1" t="n">
        <f aca="false">_xlfn.STDEV.P(E20:E23)</f>
        <v>7.77817459305202</v>
      </c>
    </row>
    <row r="35" customFormat="false" ht="13.8" hidden="false" customHeight="false" outlineLevel="0" collapsed="false">
      <c r="B35" s="1" t="s">
        <v>0</v>
      </c>
      <c r="C35" s="1" t="s">
        <v>1</v>
      </c>
      <c r="D35" s="1" t="s">
        <v>2</v>
      </c>
      <c r="E35" s="1" t="s">
        <v>3</v>
      </c>
    </row>
    <row r="36" customFormat="false" ht="14.5" hidden="false" customHeight="false" outlineLevel="0" collapsed="false">
      <c r="A36" s="1" t="s">
        <v>4</v>
      </c>
      <c r="B36" s="1" t="n">
        <v>0</v>
      </c>
      <c r="C36" s="1" t="n">
        <v>22</v>
      </c>
      <c r="D36" s="1" t="n">
        <v>42</v>
      </c>
      <c r="E36" s="1" t="n">
        <v>25</v>
      </c>
    </row>
    <row r="37" customFormat="false" ht="14.5" hidden="false" customHeight="false" outlineLevel="0" collapsed="false">
      <c r="A37" s="1" t="s">
        <v>5</v>
      </c>
      <c r="B37" s="1" t="n">
        <v>0</v>
      </c>
      <c r="C37" s="1" t="n">
        <v>24</v>
      </c>
      <c r="D37" s="1" t="n">
        <v>27</v>
      </c>
      <c r="E37" s="1" t="n">
        <v>25</v>
      </c>
    </row>
    <row r="38" customFormat="false" ht="14.5" hidden="false" customHeight="false" outlineLevel="0" collapsed="false">
      <c r="A38" s="1" t="s">
        <v>6</v>
      </c>
      <c r="B38" s="1" t="n">
        <v>0</v>
      </c>
      <c r="C38" s="1" t="n">
        <v>19</v>
      </c>
      <c r="D38" s="1" t="n">
        <v>16</v>
      </c>
      <c r="E38" s="1" t="n">
        <v>25</v>
      </c>
    </row>
    <row r="39" customFormat="false" ht="14.5" hidden="false" customHeight="false" outlineLevel="0" collapsed="false">
      <c r="A39" s="1" t="s">
        <v>7</v>
      </c>
      <c r="B39" s="1" t="n">
        <v>0</v>
      </c>
      <c r="C39" s="1" t="n">
        <v>35</v>
      </c>
      <c r="D39" s="1" t="n">
        <v>15</v>
      </c>
      <c r="E39" s="1" t="n">
        <v>25</v>
      </c>
    </row>
    <row r="40" customFormat="false" ht="13.8" hidden="false" customHeight="false" outlineLevel="0" collapsed="false">
      <c r="A40" s="1" t="s">
        <v>8</v>
      </c>
      <c r="C40" s="1" t="n">
        <f aca="false">_xlfn.STDEV.P(C36:C39)</f>
        <v>6.04152298679729</v>
      </c>
      <c r="D40" s="1" t="n">
        <f aca="false">_xlfn.STDEV.P(D36:D39)</f>
        <v>10.8857705285386</v>
      </c>
      <c r="E40" s="1" t="n">
        <f aca="false">_xlfn.STDEV.P(E36:E39)</f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1" activeCellId="0" sqref="E11"/>
    </sheetView>
  </sheetViews>
  <sheetFormatPr defaultColWidth="8.54296875" defaultRowHeight="14.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4.5" hidden="false" customHeight="false" outlineLevel="0" collapsed="false">
      <c r="A2" s="1" t="s">
        <v>14</v>
      </c>
      <c r="B2" s="1" t="n">
        <v>34</v>
      </c>
      <c r="C2" s="1" t="n">
        <v>31</v>
      </c>
      <c r="D2" s="1" t="n">
        <v>29</v>
      </c>
      <c r="E2" s="1" t="n">
        <v>36</v>
      </c>
    </row>
    <row r="3" customFormat="false" ht="14.5" hidden="false" customHeight="false" outlineLevel="0" collapsed="false">
      <c r="A3" s="1" t="s">
        <v>15</v>
      </c>
      <c r="B3" s="1" t="n">
        <v>66</v>
      </c>
      <c r="C3" s="1" t="n">
        <v>69</v>
      </c>
      <c r="D3" s="1" t="n">
        <v>71</v>
      </c>
      <c r="E3" s="1" t="n">
        <v>64</v>
      </c>
    </row>
    <row r="4" customFormat="false" ht="14.5" hidden="false" customHeight="false" outlineLevel="0" collapsed="false">
      <c r="B4" s="1" t="n">
        <f aca="false">_xlfn.STDEV.P(B2:B3)</f>
        <v>16</v>
      </c>
      <c r="C4" s="1" t="n">
        <f aca="false">_xlfn.STDEV.P(C2:C3)</f>
        <v>19</v>
      </c>
      <c r="D4" s="1" t="n">
        <f aca="false">_xlfn.STDEV.P(D2:D3)</f>
        <v>21</v>
      </c>
      <c r="E4" s="1" t="n">
        <f aca="false">_xlfn.STDEV.P(E2:E3)</f>
        <v>14</v>
      </c>
    </row>
    <row r="11" customFormat="false" ht="13.8" hidden="false" customHeight="false" outlineLevel="0" collapsed="false">
      <c r="B11" s="1" t="s">
        <v>0</v>
      </c>
      <c r="C11" s="1" t="s">
        <v>1</v>
      </c>
      <c r="D11" s="1" t="s">
        <v>2</v>
      </c>
      <c r="E11" s="1" t="s">
        <v>3</v>
      </c>
    </row>
    <row r="12" customFormat="false" ht="14.5" hidden="false" customHeight="false" outlineLevel="0" collapsed="false">
      <c r="A12" s="1" t="s">
        <v>14</v>
      </c>
      <c r="B12" s="1" t="n">
        <v>0</v>
      </c>
      <c r="C12" s="1" t="n">
        <v>44</v>
      </c>
      <c r="D12" s="1" t="n">
        <v>42</v>
      </c>
      <c r="E12" s="1" t="n">
        <v>54</v>
      </c>
    </row>
    <row r="13" customFormat="false" ht="14.5" hidden="false" customHeight="false" outlineLevel="0" collapsed="false">
      <c r="A13" s="1" t="s">
        <v>15</v>
      </c>
      <c r="B13" s="1" t="n">
        <v>0</v>
      </c>
      <c r="C13" s="1" t="n">
        <v>56</v>
      </c>
      <c r="D13" s="1" t="n">
        <v>58</v>
      </c>
      <c r="E13" s="1" t="n">
        <v>46</v>
      </c>
    </row>
    <row r="14" customFormat="false" ht="14.5" hidden="false" customHeight="false" outlineLevel="0" collapsed="false">
      <c r="C14" s="1" t="n">
        <f aca="false">_xlfn.STDEV.P(C12:C13)</f>
        <v>6</v>
      </c>
      <c r="D14" s="1" t="n">
        <f aca="false">_xlfn.STDEV.P(D12:D13)</f>
        <v>8</v>
      </c>
      <c r="E14" s="1" t="n">
        <f aca="false">_xlfn.STDEV.P(E12:E13)</f>
        <v>4</v>
      </c>
    </row>
    <row r="20" customFormat="false" ht="13.8" hidden="false" customHeight="false" outlineLevel="0" collapsed="false">
      <c r="B20" s="1" t="s">
        <v>0</v>
      </c>
      <c r="C20" s="1" t="s">
        <v>1</v>
      </c>
      <c r="D20" s="1" t="s">
        <v>2</v>
      </c>
      <c r="E20" s="1" t="s">
        <v>3</v>
      </c>
    </row>
    <row r="21" customFormat="false" ht="14.5" hidden="false" customHeight="false" outlineLevel="0" collapsed="false">
      <c r="A21" s="1" t="s">
        <v>14</v>
      </c>
      <c r="B21" s="1" t="n">
        <v>0</v>
      </c>
      <c r="C21" s="1" t="n">
        <v>43</v>
      </c>
      <c r="D21" s="1" t="n">
        <v>44</v>
      </c>
      <c r="E21" s="1" t="n">
        <v>50</v>
      </c>
    </row>
    <row r="22" customFormat="false" ht="14.5" hidden="false" customHeight="false" outlineLevel="0" collapsed="false">
      <c r="A22" s="1" t="s">
        <v>15</v>
      </c>
      <c r="B22" s="1" t="n">
        <v>0</v>
      </c>
      <c r="C22" s="1" t="n">
        <v>57</v>
      </c>
      <c r="D22" s="1" t="n">
        <v>56</v>
      </c>
      <c r="E22" s="1" t="n">
        <v>50</v>
      </c>
    </row>
    <row r="23" customFormat="false" ht="14.5" hidden="false" customHeight="false" outlineLevel="0" collapsed="false">
      <c r="C23" s="1" t="n">
        <f aca="false">_xlfn.STDEV.P(C21:C22)</f>
        <v>7</v>
      </c>
      <c r="D23" s="1" t="n">
        <f aca="false">_xlfn.STDEV.P(D21:D22)</f>
        <v>6</v>
      </c>
      <c r="E23" s="1" t="n">
        <f aca="false">_xlfn.STDEV.P(E21:E22)</f>
        <v>0</v>
      </c>
    </row>
    <row r="28" customFormat="false" ht="13.8" hidden="false" customHeight="false" outlineLevel="0" collapsed="false">
      <c r="B28" s="1" t="s">
        <v>9</v>
      </c>
      <c r="C28" s="1" t="s">
        <v>2</v>
      </c>
      <c r="D28" s="1" t="s">
        <v>1</v>
      </c>
      <c r="E28" s="1" t="s">
        <v>0</v>
      </c>
    </row>
    <row r="29" customFormat="false" ht="13.8" hidden="false" customHeight="false" outlineLevel="0" collapsed="false">
      <c r="A29" s="1" t="s">
        <v>10</v>
      </c>
      <c r="B29" s="1" t="n">
        <v>0.14</v>
      </c>
      <c r="C29" s="1" t="n">
        <v>0.21</v>
      </c>
      <c r="D29" s="1" t="n">
        <v>0.19</v>
      </c>
      <c r="E29" s="1" t="n">
        <v>0.16</v>
      </c>
    </row>
    <row r="30" customFormat="false" ht="13.8" hidden="false" customHeight="false" outlineLevel="0" collapsed="false">
      <c r="A30" s="0" t="s">
        <v>11</v>
      </c>
      <c r="B30" s="0" t="n">
        <v>0.04</v>
      </c>
      <c r="C30" s="0" t="n">
        <v>0.08</v>
      </c>
      <c r="D30" s="0" t="n">
        <v>0.06</v>
      </c>
      <c r="E30" s="0" t="s">
        <v>12</v>
      </c>
    </row>
    <row r="31" customFormat="false" ht="13.8" hidden="false" customHeight="false" outlineLevel="0" collapsed="false">
      <c r="A31" s="0" t="s">
        <v>13</v>
      </c>
      <c r="B31" s="0" t="n">
        <v>0</v>
      </c>
      <c r="C31" s="0" t="n">
        <v>0.06</v>
      </c>
      <c r="D31" s="0" t="n">
        <v>0.07</v>
      </c>
      <c r="E31" s="0" t="s">
        <v>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true" showOutlineSymbols="true" defaultGridColor="true" view="normal" topLeftCell="A46" colorId="64" zoomScale="95" zoomScaleNormal="95" zoomScalePageLayoutView="100" workbookViewId="0">
      <selection pane="topLeft" activeCell="R78" activeCellId="0" sqref="R78"/>
    </sheetView>
  </sheetViews>
  <sheetFormatPr defaultColWidth="8.54296875" defaultRowHeight="14.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4.5" hidden="false" customHeight="false" outlineLevel="0" collapsed="false">
      <c r="A2" s="1" t="s">
        <v>16</v>
      </c>
      <c r="B2" s="1" t="n">
        <v>3</v>
      </c>
      <c r="C2" s="1" t="n">
        <v>1</v>
      </c>
      <c r="D2" s="1" t="n">
        <v>3</v>
      </c>
      <c r="E2" s="1" t="n">
        <v>3</v>
      </c>
    </row>
    <row r="3" customFormat="false" ht="14.5" hidden="false" customHeight="false" outlineLevel="0" collapsed="false">
      <c r="A3" s="1" t="s">
        <v>17</v>
      </c>
      <c r="B3" s="1" t="n">
        <v>67</v>
      </c>
      <c r="C3" s="1" t="n">
        <v>60</v>
      </c>
      <c r="D3" s="1" t="n">
        <v>80</v>
      </c>
      <c r="E3" s="1" t="n">
        <v>61</v>
      </c>
    </row>
    <row r="4" customFormat="false" ht="14.5" hidden="false" customHeight="false" outlineLevel="0" collapsed="false">
      <c r="A4" s="1" t="s">
        <v>18</v>
      </c>
      <c r="B4" s="1" t="n">
        <v>16</v>
      </c>
      <c r="C4" s="1" t="n">
        <v>28</v>
      </c>
      <c r="D4" s="1" t="n">
        <v>14</v>
      </c>
      <c r="E4" s="1" t="n">
        <v>21</v>
      </c>
    </row>
    <row r="5" customFormat="false" ht="14.5" hidden="false" customHeight="false" outlineLevel="0" collapsed="false">
      <c r="A5" s="1" t="s">
        <v>19</v>
      </c>
      <c r="B5" s="1" t="n">
        <v>7</v>
      </c>
      <c r="C5" s="1" t="n">
        <v>6</v>
      </c>
      <c r="D5" s="1" t="n">
        <v>2</v>
      </c>
      <c r="E5" s="1" t="n">
        <v>7</v>
      </c>
    </row>
    <row r="6" customFormat="false" ht="14.5" hidden="false" customHeight="false" outlineLevel="0" collapsed="false">
      <c r="A6" s="1" t="s">
        <v>20</v>
      </c>
      <c r="B6" s="1" t="n">
        <v>5</v>
      </c>
      <c r="C6" s="1" t="n">
        <v>4</v>
      </c>
      <c r="D6" s="1" t="n">
        <v>1</v>
      </c>
      <c r="E6" s="1" t="n">
        <v>5</v>
      </c>
    </row>
    <row r="7" customFormat="false" ht="14.5" hidden="false" customHeight="false" outlineLevel="0" collapsed="false">
      <c r="A7" s="1" t="s">
        <v>21</v>
      </c>
      <c r="B7" s="1" t="n">
        <v>2</v>
      </c>
      <c r="C7" s="1" t="n">
        <v>1</v>
      </c>
      <c r="D7" s="1" t="n">
        <v>0</v>
      </c>
      <c r="E7" s="1" t="n">
        <v>2</v>
      </c>
    </row>
    <row r="8" customFormat="false" ht="14.5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1</v>
      </c>
    </row>
    <row r="9" customFormat="false" ht="14.5" hidden="false" customHeight="false" outlineLevel="0" collapsed="false">
      <c r="B9" s="1" t="n">
        <f aca="false">_xlfn.STDEV.P(B2:B8)</f>
        <v>22.0500358646568</v>
      </c>
      <c r="C9" s="1" t="n">
        <f aca="false">_xlfn.STDEV.P(C2:C8)</f>
        <v>20.7344729218502</v>
      </c>
      <c r="D9" s="1" t="n">
        <f aca="false">_xlfn.STDEV.P(D2:D8)</f>
        <v>27.2066918538924</v>
      </c>
      <c r="E9" s="1" t="n">
        <f aca="false">_xlfn.STDEV.P(E2:E8)</f>
        <v>20.0763847465074</v>
      </c>
    </row>
    <row r="27" customFormat="false" ht="13.8" hidden="false" customHeight="false" outlineLevel="0" collapsed="false">
      <c r="B27" s="1" t="s">
        <v>0</v>
      </c>
      <c r="C27" s="1" t="s">
        <v>1</v>
      </c>
      <c r="D27" s="1" t="s">
        <v>2</v>
      </c>
      <c r="E27" s="1" t="s">
        <v>3</v>
      </c>
    </row>
    <row r="28" customFormat="false" ht="14.5" hidden="false" customHeight="false" outlineLevel="0" collapsed="false">
      <c r="A28" s="1" t="s">
        <v>23</v>
      </c>
      <c r="B28" s="1" t="n">
        <v>0</v>
      </c>
      <c r="C28" s="1" t="n">
        <v>0</v>
      </c>
      <c r="D28" s="1" t="n">
        <v>1</v>
      </c>
      <c r="E28" s="1" t="n">
        <v>2</v>
      </c>
    </row>
    <row r="29" customFormat="false" ht="14.5" hidden="false" customHeight="false" outlineLevel="0" collapsed="false">
      <c r="A29" s="1" t="s">
        <v>24</v>
      </c>
      <c r="B29" s="1" t="n">
        <v>0</v>
      </c>
      <c r="C29" s="1" t="n">
        <v>11</v>
      </c>
      <c r="D29" s="1" t="n">
        <v>12</v>
      </c>
      <c r="E29" s="1" t="n">
        <v>13</v>
      </c>
    </row>
    <row r="30" customFormat="false" ht="14.5" hidden="false" customHeight="false" outlineLevel="0" collapsed="false">
      <c r="A30" s="1" t="s">
        <v>16</v>
      </c>
      <c r="B30" s="1" t="n">
        <v>0</v>
      </c>
      <c r="C30" s="1" t="n">
        <v>8</v>
      </c>
      <c r="D30" s="1" t="n">
        <v>19</v>
      </c>
      <c r="E30" s="1" t="n">
        <v>8</v>
      </c>
    </row>
    <row r="31" customFormat="false" ht="14.5" hidden="false" customHeight="false" outlineLevel="0" collapsed="false">
      <c r="A31" s="1" t="s">
        <v>17</v>
      </c>
      <c r="B31" s="1" t="n">
        <v>0</v>
      </c>
      <c r="C31" s="1" t="n">
        <v>49</v>
      </c>
      <c r="D31" s="1" t="n">
        <v>45</v>
      </c>
      <c r="E31" s="1" t="n">
        <v>35</v>
      </c>
    </row>
    <row r="32" customFormat="false" ht="14.5" hidden="false" customHeight="false" outlineLevel="0" collapsed="false">
      <c r="A32" s="1" t="s">
        <v>18</v>
      </c>
      <c r="B32" s="1" t="n">
        <v>0</v>
      </c>
      <c r="C32" s="1" t="n">
        <v>25</v>
      </c>
      <c r="D32" s="1" t="n">
        <v>16</v>
      </c>
      <c r="E32" s="1" t="n">
        <v>21</v>
      </c>
    </row>
    <row r="33" customFormat="false" ht="14.5" hidden="false" customHeight="false" outlineLevel="0" collapsed="false">
      <c r="A33" s="1" t="s">
        <v>19</v>
      </c>
      <c r="B33" s="1" t="n">
        <v>0</v>
      </c>
      <c r="C33" s="1" t="n">
        <v>6</v>
      </c>
      <c r="D33" s="1" t="n">
        <v>6</v>
      </c>
      <c r="E33" s="1" t="n">
        <v>11</v>
      </c>
    </row>
    <row r="34" customFormat="false" ht="14.5" hidden="false" customHeight="false" outlineLevel="0" collapsed="false">
      <c r="A34" s="1" t="s">
        <v>20</v>
      </c>
      <c r="B34" s="1" t="n">
        <v>0</v>
      </c>
      <c r="C34" s="1" t="n">
        <v>1</v>
      </c>
      <c r="D34" s="1" t="n">
        <v>1</v>
      </c>
      <c r="E34" s="1" t="n">
        <v>7</v>
      </c>
    </row>
    <row r="35" customFormat="false" ht="14.5" hidden="false" customHeight="false" outlineLevel="0" collapsed="false">
      <c r="A35" s="1" t="s">
        <v>21</v>
      </c>
      <c r="B35" s="1" t="n">
        <v>0</v>
      </c>
      <c r="C35" s="1" t="n">
        <v>0</v>
      </c>
      <c r="D35" s="1" t="n">
        <v>0</v>
      </c>
      <c r="E35" s="1" t="n">
        <v>2</v>
      </c>
    </row>
    <row r="36" customFormat="false" ht="14.5" hidden="false" customHeight="false" outlineLevel="0" collapsed="false">
      <c r="A36" s="1" t="s">
        <v>22</v>
      </c>
      <c r="B36" s="1" t="n">
        <v>0</v>
      </c>
      <c r="C36" s="1" t="n">
        <v>0</v>
      </c>
      <c r="D36" s="1" t="n">
        <v>0</v>
      </c>
      <c r="E36" s="1" t="n">
        <v>1</v>
      </c>
    </row>
    <row r="37" customFormat="false" ht="14.5" hidden="false" customHeight="false" outlineLevel="0" collapsed="false">
      <c r="B37" s="1" t="n">
        <f aca="false">_xlfn.STDEV.P(B28:B36)</f>
        <v>0</v>
      </c>
      <c r="C37" s="1" t="n">
        <f aca="false">_xlfn.STDEV.P(C28:C36)</f>
        <v>15.4088318429864</v>
      </c>
      <c r="D37" s="1" t="n">
        <f aca="false">_xlfn.STDEV.P(D28:D36)</f>
        <v>13.7956872845945</v>
      </c>
      <c r="E37" s="1" t="n">
        <f aca="false">_xlfn.STDEV.P(E28:E36)</f>
        <v>10.3649456711279</v>
      </c>
    </row>
    <row r="58" customFormat="false" ht="13.8" hidden="false" customHeight="false" outlineLevel="0" collapsed="false">
      <c r="B58" s="1" t="s">
        <v>0</v>
      </c>
      <c r="C58" s="1" t="s">
        <v>1</v>
      </c>
      <c r="D58" s="1" t="s">
        <v>2</v>
      </c>
      <c r="E58" s="1" t="s">
        <v>3</v>
      </c>
    </row>
    <row r="59" customFormat="false" ht="14.5" hidden="false" customHeight="false" outlineLevel="0" collapsed="false">
      <c r="A59" s="1" t="s">
        <v>23</v>
      </c>
      <c r="B59" s="1" t="n">
        <v>0</v>
      </c>
      <c r="C59" s="1" t="n">
        <v>2</v>
      </c>
      <c r="D59" s="1" t="n">
        <v>1</v>
      </c>
      <c r="E59" s="1" t="n">
        <v>2</v>
      </c>
    </row>
    <row r="60" customFormat="false" ht="14.5" hidden="false" customHeight="false" outlineLevel="0" collapsed="false">
      <c r="A60" s="1" t="s">
        <v>24</v>
      </c>
      <c r="B60" s="1" t="n">
        <v>0</v>
      </c>
      <c r="C60" s="1" t="n">
        <v>13</v>
      </c>
      <c r="D60" s="1" t="n">
        <v>12</v>
      </c>
      <c r="E60" s="1" t="n">
        <v>14</v>
      </c>
    </row>
    <row r="61" customFormat="false" ht="14.5" hidden="false" customHeight="false" outlineLevel="0" collapsed="false">
      <c r="A61" s="1" t="s">
        <v>16</v>
      </c>
      <c r="B61" s="1" t="n">
        <v>0</v>
      </c>
      <c r="C61" s="1" t="n">
        <v>8</v>
      </c>
      <c r="D61" s="1" t="n">
        <v>13</v>
      </c>
      <c r="E61" s="1" t="n">
        <v>9</v>
      </c>
    </row>
    <row r="62" customFormat="false" ht="14.5" hidden="false" customHeight="false" outlineLevel="0" collapsed="false">
      <c r="A62" s="1" t="s">
        <v>17</v>
      </c>
      <c r="B62" s="1" t="n">
        <v>0</v>
      </c>
      <c r="C62" s="1" t="n">
        <v>39</v>
      </c>
      <c r="D62" s="1" t="n">
        <v>39</v>
      </c>
      <c r="E62" s="1" t="n">
        <v>34</v>
      </c>
    </row>
    <row r="63" customFormat="false" ht="14.5" hidden="false" customHeight="false" outlineLevel="0" collapsed="false">
      <c r="A63" s="1" t="s">
        <v>18</v>
      </c>
      <c r="B63" s="1" t="n">
        <v>0</v>
      </c>
      <c r="C63" s="1" t="n">
        <v>25</v>
      </c>
      <c r="D63" s="1" t="n">
        <v>21</v>
      </c>
      <c r="E63" s="1" t="n">
        <v>21</v>
      </c>
    </row>
    <row r="64" customFormat="false" ht="14.5" hidden="false" customHeight="false" outlineLevel="0" collapsed="false">
      <c r="A64" s="1" t="s">
        <v>19</v>
      </c>
      <c r="B64" s="1" t="n">
        <v>0</v>
      </c>
      <c r="C64" s="1" t="n">
        <v>9</v>
      </c>
      <c r="D64" s="1" t="n">
        <v>9</v>
      </c>
      <c r="E64" s="1" t="n">
        <v>11</v>
      </c>
    </row>
    <row r="65" customFormat="false" ht="14.5" hidden="false" customHeight="false" outlineLevel="0" collapsed="false">
      <c r="A65" s="1" t="s">
        <v>20</v>
      </c>
      <c r="B65" s="1" t="n">
        <v>0</v>
      </c>
      <c r="C65" s="1" t="n">
        <v>3</v>
      </c>
      <c r="D65" s="1" t="n">
        <v>4</v>
      </c>
      <c r="E65" s="1" t="n">
        <v>6</v>
      </c>
    </row>
    <row r="66" customFormat="false" ht="14.5" hidden="false" customHeight="false" outlineLevel="0" collapsed="false">
      <c r="A66" s="1" t="s">
        <v>21</v>
      </c>
      <c r="B66" s="1" t="n">
        <v>0</v>
      </c>
      <c r="C66" s="1" t="n">
        <v>1</v>
      </c>
      <c r="D66" s="1" t="n">
        <v>1</v>
      </c>
      <c r="E66" s="1" t="n">
        <v>2</v>
      </c>
    </row>
    <row r="67" customFormat="false" ht="14.5" hidden="false" customHeight="false" outlineLevel="0" collapsed="false">
      <c r="A67" s="1" t="s">
        <v>22</v>
      </c>
      <c r="B67" s="1" t="n">
        <v>0</v>
      </c>
      <c r="C67" s="1" t="n">
        <v>0</v>
      </c>
      <c r="D67" s="1" t="n">
        <v>0</v>
      </c>
      <c r="E67" s="1" t="n">
        <v>1</v>
      </c>
    </row>
    <row r="68" customFormat="false" ht="14.5" hidden="false" customHeight="false" outlineLevel="0" collapsed="false">
      <c r="C68" s="1" t="n">
        <f aca="false">_xlfn.STDEV.P(C59:C67)</f>
        <v>12.3057750168542</v>
      </c>
      <c r="D68" s="1" t="n">
        <f aca="false">_xlfn.STDEV.P(D59:D67)</f>
        <v>11.8457160042912</v>
      </c>
      <c r="E68" s="1" t="n">
        <f aca="false">_xlfn.STDEV.P(E59:E67)</f>
        <v>10.1592261783666</v>
      </c>
    </row>
    <row r="74" customFormat="false" ht="13.8" hidden="false" customHeight="false" outlineLevel="0" collapsed="false">
      <c r="B74" s="1" t="s">
        <v>9</v>
      </c>
      <c r="C74" s="1" t="s">
        <v>2</v>
      </c>
      <c r="D74" s="1" t="s">
        <v>1</v>
      </c>
      <c r="E74" s="1" t="s">
        <v>0</v>
      </c>
    </row>
    <row r="75" customFormat="false" ht="13.8" hidden="false" customHeight="false" outlineLevel="0" collapsed="false">
      <c r="A75" s="1" t="s">
        <v>10</v>
      </c>
      <c r="B75" s="1" t="n">
        <v>0.2</v>
      </c>
      <c r="C75" s="1" t="n">
        <v>0.27</v>
      </c>
      <c r="D75" s="1" t="n">
        <v>0.21</v>
      </c>
      <c r="E75" s="1" t="n">
        <v>0.22</v>
      </c>
    </row>
    <row r="76" customFormat="false" ht="13.8" hidden="false" customHeight="false" outlineLevel="0" collapsed="false">
      <c r="A76" s="0" t="s">
        <v>11</v>
      </c>
      <c r="B76" s="0" t="n">
        <v>0.1</v>
      </c>
      <c r="C76" s="0" t="n">
        <v>0.14</v>
      </c>
      <c r="D76" s="0" t="n">
        <v>0.15</v>
      </c>
      <c r="E76" s="0" t="s">
        <v>12</v>
      </c>
    </row>
    <row r="77" customFormat="false" ht="13.8" hidden="false" customHeight="false" outlineLevel="0" collapsed="false">
      <c r="A77" s="0" t="s">
        <v>13</v>
      </c>
      <c r="B77" s="0" t="n">
        <v>0.1</v>
      </c>
      <c r="C77" s="0" t="n">
        <v>0.12</v>
      </c>
      <c r="D77" s="0" t="n">
        <v>0.12</v>
      </c>
      <c r="E77" s="0" t="s">
        <v>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9" activeCellId="0" sqref="E19"/>
    </sheetView>
  </sheetViews>
  <sheetFormatPr defaultColWidth="8.54296875" defaultRowHeight="14.5" zeroHeight="false" outlineLevelRow="0" outlineLevelCol="0"/>
  <sheetData>
    <row r="2" customFormat="false" ht="14.5" hidden="false" customHeight="false" outlineLevel="0" collapsed="false">
      <c r="B2" s="1" t="s">
        <v>25</v>
      </c>
      <c r="C2" s="1" t="s">
        <v>26</v>
      </c>
      <c r="D2" s="1" t="s">
        <v>27</v>
      </c>
      <c r="E2" s="1" t="s">
        <v>28</v>
      </c>
    </row>
    <row r="3" customFormat="false" ht="14.5" hidden="false" customHeight="false" outlineLevel="0" collapsed="false">
      <c r="A3" s="1" t="s">
        <v>4</v>
      </c>
      <c r="B3" s="2" t="n">
        <v>0.83</v>
      </c>
      <c r="C3" s="2" t="n">
        <v>0.89</v>
      </c>
      <c r="D3" s="2" t="n">
        <v>0.82</v>
      </c>
      <c r="E3" s="2" t="n">
        <v>0.91</v>
      </c>
    </row>
    <row r="4" customFormat="false" ht="14.5" hidden="false" customHeight="false" outlineLevel="0" collapsed="false">
      <c r="A4" s="1" t="s">
        <v>7</v>
      </c>
      <c r="B4" s="2" t="n">
        <v>0.05</v>
      </c>
      <c r="C4" s="2" t="n">
        <v>0.02</v>
      </c>
      <c r="D4" s="2" t="n">
        <v>0.1</v>
      </c>
      <c r="E4" s="2" t="n">
        <v>0.02</v>
      </c>
    </row>
    <row r="5" customFormat="false" ht="14.5" hidden="false" customHeight="false" outlineLevel="0" collapsed="false">
      <c r="A5" s="1" t="s">
        <v>6</v>
      </c>
      <c r="B5" s="2" t="n">
        <v>0.07</v>
      </c>
      <c r="C5" s="2" t="n">
        <v>0.04</v>
      </c>
      <c r="D5" s="2" t="n">
        <v>0.06</v>
      </c>
      <c r="E5" s="2" t="n">
        <v>0.04</v>
      </c>
    </row>
    <row r="6" customFormat="false" ht="14.5" hidden="false" customHeight="false" outlineLevel="0" collapsed="false">
      <c r="A6" s="1" t="s">
        <v>5</v>
      </c>
      <c r="B6" s="2" t="n">
        <v>0.05</v>
      </c>
      <c r="C6" s="2" t="n">
        <v>0.05</v>
      </c>
      <c r="D6" s="2" t="n">
        <v>0.02</v>
      </c>
      <c r="E6" s="2" t="n">
        <v>0.03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2024-02-17T17:49:25Z</dcterms:created>
  <dc:creator>Subir Parida</dc:creator>
  <dc:description/>
  <dc:language>en-IN</dc:language>
  <cp:lastModifiedBy/>
  <dcterms:modified xsi:type="dcterms:W3CDTF">2024-02-23T18:30:16Z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