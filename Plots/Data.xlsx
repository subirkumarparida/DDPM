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adae42a5ff17c16/Documents/github_large/Plots/"/>
    </mc:Choice>
  </mc:AlternateContent>
  <xr:revisionPtr revIDLastSave="0" documentId="13_ncr:1_{ED2103F1-E07D-479B-B499-FC23D5E63CFE}" xr6:coauthVersionLast="47" xr6:coauthVersionMax="47" xr10:uidLastSave="{00000000-0000-0000-0000-000000000000}"/>
  <bookViews>
    <workbookView xWindow="-110" yWindow="-110" windowWidth="19420" windowHeight="10300" activeTab="3" xr2:uid="{A9A49F86-2A2D-4196-B163-9FD25526C25E}"/>
  </bookViews>
  <sheets>
    <sheet name="Race" sheetId="1" r:id="rId1"/>
    <sheet name="Gender" sheetId="2" r:id="rId2"/>
    <sheet name="Age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8" i="3" l="1"/>
  <c r="D68" i="3"/>
  <c r="E68" i="3"/>
  <c r="B37" i="3"/>
  <c r="C37" i="3"/>
  <c r="D37" i="3"/>
  <c r="E37" i="3"/>
  <c r="B9" i="3"/>
  <c r="C9" i="3"/>
  <c r="D9" i="3"/>
  <c r="E9" i="3"/>
  <c r="C23" i="2"/>
  <c r="D23" i="2"/>
  <c r="E23" i="2"/>
  <c r="C14" i="2"/>
  <c r="D14" i="2"/>
  <c r="E14" i="2"/>
  <c r="E4" i="2"/>
  <c r="D4" i="2"/>
  <c r="C4" i="2"/>
  <c r="B4" i="2"/>
  <c r="C40" i="1"/>
  <c r="D40" i="1"/>
  <c r="E40" i="1"/>
  <c r="E24" i="1"/>
  <c r="D24" i="1"/>
  <c r="C24" i="1"/>
  <c r="E6" i="1"/>
  <c r="D6" i="1"/>
  <c r="C6" i="1"/>
  <c r="B6" i="1"/>
</calcChain>
</file>

<file path=xl/sharedStrings.xml><?xml version="1.0" encoding="utf-8"?>
<sst xmlns="http://schemas.openxmlformats.org/spreadsheetml/2006/main" count="87" uniqueCount="25">
  <si>
    <t>White</t>
  </si>
  <si>
    <t>Asian</t>
  </si>
  <si>
    <t>Black</t>
  </si>
  <si>
    <t>Indian</t>
  </si>
  <si>
    <t>CelebA-HQ</t>
  </si>
  <si>
    <t>DDPM</t>
  </si>
  <si>
    <t>DDGAN</t>
  </si>
  <si>
    <t>LDM</t>
  </si>
  <si>
    <t>FairFace</t>
  </si>
  <si>
    <t>Bal - FairFace</t>
  </si>
  <si>
    <t>Male</t>
  </si>
  <si>
    <t>Female</t>
  </si>
  <si>
    <t>10 – 19</t>
  </si>
  <si>
    <t>20 – 29</t>
  </si>
  <si>
    <t>30 – 39</t>
  </si>
  <si>
    <t>40 – 49</t>
  </si>
  <si>
    <t>50 – 59</t>
  </si>
  <si>
    <t>60 – 69</t>
  </si>
  <si>
    <t>70++</t>
  </si>
  <si>
    <t>0 – 2</t>
  </si>
  <si>
    <t>3 – 9</t>
  </si>
  <si>
    <t>Model 4</t>
  </si>
  <si>
    <t>Model 3</t>
  </si>
  <si>
    <t>Model 2</t>
  </si>
  <si>
    <t>Model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</si>
</sst>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Race!$B$2:$E$2</c:f>
              <c:numCache>
                <c:formatCode>General</c:formatCode>
                <c:ptCount val="4"/>
                <c:pt idx="0">
                  <c:v>91</c:v>
                </c:pt>
                <c:pt idx="1">
                  <c:v>82</c:v>
                </c:pt>
                <c:pt idx="2">
                  <c:v>89</c:v>
                </c:pt>
                <c:pt idx="3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18-4A1F-A22A-C8BAB56433C6}"/>
            </c:ext>
          </c:extLst>
        </c:ser>
        <c:ser>
          <c:idx val="1"/>
          <c:order val="1"/>
          <c:tx>
            <c:strRef>
              <c:f>Race!$A$3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Race!$B$3:$E$3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18-4A1F-A22A-C8BAB56433C6}"/>
            </c:ext>
          </c:extLst>
        </c:ser>
        <c:ser>
          <c:idx val="2"/>
          <c:order val="2"/>
          <c:tx>
            <c:strRef>
              <c:f>Race!$A$4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Race!$B$4:$E$4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18-4A1F-A22A-C8BAB56433C6}"/>
            </c:ext>
          </c:extLst>
        </c:ser>
        <c:ser>
          <c:idx val="3"/>
          <c:order val="3"/>
          <c:tx>
            <c:strRef>
              <c:f>Race!$A$5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Race!$B$5:$E$5</c:f>
              <c:numCache>
                <c:formatCode>General</c:formatCode>
                <c:ptCount val="4"/>
                <c:pt idx="0">
                  <c:v>2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18-4A1F-A22A-C8BAB56433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shape val="box"/>
        <c:axId val="593075487"/>
        <c:axId val="835120959"/>
        <c:axId val="0"/>
      </c:bar3DChart>
      <c:catAx>
        <c:axId val="5930754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120959"/>
        <c:crosses val="autoZero"/>
        <c:auto val="1"/>
        <c:lblAlgn val="ctr"/>
        <c:lblOffset val="100"/>
        <c:noMultiLvlLbl val="0"/>
      </c:catAx>
      <c:valAx>
        <c:axId val="835120959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1">
                <a:alpha val="92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07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Race!$A$20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Race!$B$20:$E$20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51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4-4141-A20E-4724BC4CDE8F}"/>
            </c:ext>
          </c:extLst>
        </c:ser>
        <c:ser>
          <c:idx val="1"/>
          <c:order val="1"/>
          <c:tx>
            <c:strRef>
              <c:f>Race!$A$21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Race!$B$21:$E$21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33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44-4141-A20E-4724BC4CDE8F}"/>
            </c:ext>
          </c:extLst>
        </c:ser>
        <c:ser>
          <c:idx val="2"/>
          <c:order val="2"/>
          <c:tx>
            <c:strRef>
              <c:f>Race!$A$22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Race!$B$22:$E$22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7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44-4141-A20E-4724BC4CDE8F}"/>
            </c:ext>
          </c:extLst>
        </c:ser>
        <c:ser>
          <c:idx val="3"/>
          <c:order val="3"/>
          <c:tx>
            <c:strRef>
              <c:f>Race!$A$23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Race!$B$23:$E$23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9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44-4141-A20E-4724BC4CDE8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651788063"/>
        <c:axId val="784941855"/>
        <c:axId val="0"/>
      </c:bar3DChart>
      <c:catAx>
        <c:axId val="651788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941855"/>
        <c:crosses val="autoZero"/>
        <c:auto val="1"/>
        <c:lblAlgn val="ctr"/>
        <c:lblOffset val="100"/>
        <c:noMultiLvlLbl val="0"/>
      </c:catAx>
      <c:valAx>
        <c:axId val="784941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78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Race!$A$36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Race!$B$36:$E$36</c:f>
              <c:numCache>
                <c:formatCode>General</c:formatCode>
                <c:ptCount val="4"/>
                <c:pt idx="0">
                  <c:v>0</c:v>
                </c:pt>
                <c:pt idx="1">
                  <c:v>22</c:v>
                </c:pt>
                <c:pt idx="2">
                  <c:v>42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D-4A61-A5DE-5729619EF084}"/>
            </c:ext>
          </c:extLst>
        </c:ser>
        <c:ser>
          <c:idx val="1"/>
          <c:order val="1"/>
          <c:tx>
            <c:strRef>
              <c:f>Race!$A$37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Race!$B$37:$E$37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27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8D-4A61-A5DE-5729619EF084}"/>
            </c:ext>
          </c:extLst>
        </c:ser>
        <c:ser>
          <c:idx val="2"/>
          <c:order val="2"/>
          <c:tx>
            <c:strRef>
              <c:f>Race!$A$38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Race!$B$38:$E$38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16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8D-4A61-A5DE-5729619EF084}"/>
            </c:ext>
          </c:extLst>
        </c:ser>
        <c:ser>
          <c:idx val="3"/>
          <c:order val="3"/>
          <c:tx>
            <c:strRef>
              <c:f>Race!$A$39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Race!$B$39:$E$39</c:f>
              <c:numCache>
                <c:formatCode>General</c:formatCode>
                <c:ptCount val="4"/>
                <c:pt idx="0">
                  <c:v>0</c:v>
                </c:pt>
                <c:pt idx="1">
                  <c:v>35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8D-4A61-A5DE-5729619EF08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659421071"/>
        <c:axId val="653020591"/>
        <c:axId val="0"/>
      </c:bar3DChart>
      <c:catAx>
        <c:axId val="65942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020591"/>
        <c:crosses val="autoZero"/>
        <c:auto val="1"/>
        <c:lblAlgn val="ctr"/>
        <c:lblOffset val="100"/>
        <c:noMultiLvlLbl val="0"/>
      </c:catAx>
      <c:valAx>
        <c:axId val="653020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2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Gender!$B$2:$E$2</c:f>
              <c:numCache>
                <c:formatCode>General</c:formatCode>
                <c:ptCount val="4"/>
                <c:pt idx="0">
                  <c:v>34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7E-4DCA-A515-D14329A5336C}"/>
            </c:ext>
          </c:extLst>
        </c:ser>
        <c:ser>
          <c:idx val="1"/>
          <c:order val="1"/>
          <c:tx>
            <c:strRef>
              <c:f>Gender!$A$3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Gender!$B$3:$E$3</c:f>
              <c:numCache>
                <c:formatCode>General</c:formatCode>
                <c:ptCount val="4"/>
                <c:pt idx="0">
                  <c:v>66</c:v>
                </c:pt>
                <c:pt idx="1">
                  <c:v>69</c:v>
                </c:pt>
                <c:pt idx="2">
                  <c:v>71</c:v>
                </c:pt>
                <c:pt idx="3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7E-4DCA-A515-D14329A5336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954177727"/>
        <c:axId val="835133359"/>
        <c:axId val="0"/>
      </c:bar3DChart>
      <c:catAx>
        <c:axId val="954177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133359"/>
        <c:crosses val="autoZero"/>
        <c:auto val="1"/>
        <c:lblAlgn val="ctr"/>
        <c:lblOffset val="100"/>
        <c:noMultiLvlLbl val="0"/>
      </c:catAx>
      <c:valAx>
        <c:axId val="8351333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Percentages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17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Gender!$B$12:$E$12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42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B-4F89-8564-FA429FBC2404}"/>
            </c:ext>
          </c:extLst>
        </c:ser>
        <c:ser>
          <c:idx val="1"/>
          <c:order val="1"/>
          <c:tx>
            <c:strRef>
              <c:f>Gender!$A$13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Gender!$B$13:$E$13</c:f>
              <c:numCache>
                <c:formatCode>General</c:formatCode>
                <c:ptCount val="4"/>
                <c:pt idx="0">
                  <c:v>0</c:v>
                </c:pt>
                <c:pt idx="1">
                  <c:v>56</c:v>
                </c:pt>
                <c:pt idx="2">
                  <c:v>58</c:v>
                </c:pt>
                <c:pt idx="3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FB-4F89-8564-FA429FBC24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233705247"/>
        <c:axId val="653018607"/>
        <c:axId val="0"/>
      </c:bar3DChart>
      <c:catAx>
        <c:axId val="2337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018607"/>
        <c:crosses val="autoZero"/>
        <c:auto val="1"/>
        <c:lblAlgn val="ctr"/>
        <c:lblOffset val="100"/>
        <c:noMultiLvlLbl val="0"/>
      </c:catAx>
      <c:valAx>
        <c:axId val="653018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Gender!$A$21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Gender!$B$21:$E$21</c:f>
              <c:numCache>
                <c:formatCode>General</c:formatCode>
                <c:ptCount val="4"/>
                <c:pt idx="0">
                  <c:v>0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3-4CD5-BBBF-171757A41EE8}"/>
            </c:ext>
          </c:extLst>
        </c:ser>
        <c:ser>
          <c:idx val="1"/>
          <c:order val="1"/>
          <c:tx>
            <c:strRef>
              <c:f>Gender!$A$22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Gender!$B$22:$E$22</c:f>
              <c:numCache>
                <c:formatCode>General</c:formatCode>
                <c:ptCount val="4"/>
                <c:pt idx="0">
                  <c:v>0</c:v>
                </c:pt>
                <c:pt idx="1">
                  <c:v>57</c:v>
                </c:pt>
                <c:pt idx="2">
                  <c:v>56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43-4CD5-BBBF-171757A41E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659423951"/>
        <c:axId val="835130383"/>
        <c:axId val="0"/>
      </c:bar3DChart>
      <c:catAx>
        <c:axId val="659423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130383"/>
        <c:crosses val="autoZero"/>
        <c:auto val="1"/>
        <c:lblAlgn val="ctr"/>
        <c:lblOffset val="100"/>
        <c:noMultiLvlLbl val="0"/>
      </c:catAx>
      <c:valAx>
        <c:axId val="8351303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2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Age!$A$2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Age!$B$2:$E$2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8-45C3-AD65-403C07390DC5}"/>
            </c:ext>
          </c:extLst>
        </c:ser>
        <c:ser>
          <c:idx val="1"/>
          <c:order val="1"/>
          <c:tx>
            <c:strRef>
              <c:f>Age!$A$3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Age!$B$3:$E$3</c:f>
              <c:numCache>
                <c:formatCode>General</c:formatCode>
                <c:ptCount val="4"/>
                <c:pt idx="0">
                  <c:v>67</c:v>
                </c:pt>
                <c:pt idx="1">
                  <c:v>60</c:v>
                </c:pt>
                <c:pt idx="2">
                  <c:v>80</c:v>
                </c:pt>
                <c:pt idx="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8-45C3-AD65-403C07390DC5}"/>
            </c:ext>
          </c:extLst>
        </c:ser>
        <c:ser>
          <c:idx val="2"/>
          <c:order val="2"/>
          <c:tx>
            <c:strRef>
              <c:f>Age!$A$4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Age!$B$4:$E$4</c:f>
              <c:numCache>
                <c:formatCode>General</c:formatCode>
                <c:ptCount val="4"/>
                <c:pt idx="0">
                  <c:v>16</c:v>
                </c:pt>
                <c:pt idx="1">
                  <c:v>28</c:v>
                </c:pt>
                <c:pt idx="2">
                  <c:v>14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8-45C3-AD65-403C07390DC5}"/>
            </c:ext>
          </c:extLst>
        </c:ser>
        <c:ser>
          <c:idx val="3"/>
          <c:order val="3"/>
          <c:tx>
            <c:strRef>
              <c:f>Age!$A$5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Age!$B$5:$E$5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8-45C3-AD65-403C07390DC5}"/>
            </c:ext>
          </c:extLst>
        </c:ser>
        <c:ser>
          <c:idx val="4"/>
          <c:order val="4"/>
          <c:tx>
            <c:strRef>
              <c:f>Age!$A$6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8-45C3-AD65-403C07390DC5}"/>
            </c:ext>
          </c:extLst>
        </c:ser>
        <c:ser>
          <c:idx val="5"/>
          <c:order val="5"/>
          <c:tx>
            <c:strRef>
              <c:f>Age!$A$7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Age!$B$7:$E$7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8-45C3-AD65-403C07390DC5}"/>
            </c:ext>
          </c:extLst>
        </c:ser>
        <c:ser>
          <c:idx val="6"/>
          <c:order val="6"/>
          <c:tx>
            <c:strRef>
              <c:f>Age!$A$8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68-45C3-AD65-403C07390D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789584079"/>
        <c:axId val="835115503"/>
        <c:axId val="0"/>
      </c:bar3DChart>
      <c:catAx>
        <c:axId val="789584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115503"/>
        <c:crosses val="autoZero"/>
        <c:auto val="1"/>
        <c:lblAlgn val="ctr"/>
        <c:lblOffset val="100"/>
        <c:noMultiLvlLbl val="0"/>
      </c:catAx>
      <c:valAx>
        <c:axId val="835115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PERCENTAGES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5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Age!$A$28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Age!$B$28:$E$28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8F-4A5D-B03D-D90047AD56E6}"/>
            </c:ext>
          </c:extLst>
        </c:ser>
        <c:ser>
          <c:idx val="1"/>
          <c:order val="1"/>
          <c:tx>
            <c:strRef>
              <c:f>Age!$A$29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Age!$B$29:$E$29</c:f>
              <c:numCache>
                <c:formatCode>General</c:formatCode>
                <c:ptCount val="4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8F-4A5D-B03D-D90047AD56E6}"/>
            </c:ext>
          </c:extLst>
        </c:ser>
        <c:ser>
          <c:idx val="2"/>
          <c:order val="2"/>
          <c:tx>
            <c:strRef>
              <c:f>Age!$A$30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Age!$B$30:$E$30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8F-4A5D-B03D-D90047AD56E6}"/>
            </c:ext>
          </c:extLst>
        </c:ser>
        <c:ser>
          <c:idx val="3"/>
          <c:order val="3"/>
          <c:tx>
            <c:strRef>
              <c:f>Age!$A$31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Age!$B$31:$E$31</c:f>
              <c:numCache>
                <c:formatCode>General</c:formatCode>
                <c:ptCount val="4"/>
                <c:pt idx="0">
                  <c:v>0</c:v>
                </c:pt>
                <c:pt idx="1">
                  <c:v>49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8F-4A5D-B03D-D90047AD56E6}"/>
            </c:ext>
          </c:extLst>
        </c:ser>
        <c:ser>
          <c:idx val="4"/>
          <c:order val="4"/>
          <c:tx>
            <c:strRef>
              <c:f>Age!$A$32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Age!$B$32:$E$32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F-4A5D-B03D-D90047AD56E6}"/>
            </c:ext>
          </c:extLst>
        </c:ser>
        <c:ser>
          <c:idx val="5"/>
          <c:order val="5"/>
          <c:tx>
            <c:strRef>
              <c:f>Age!$A$33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Age!$B$33:$E$33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8F-4A5D-B03D-D90047AD56E6}"/>
            </c:ext>
          </c:extLst>
        </c:ser>
        <c:ser>
          <c:idx val="6"/>
          <c:order val="6"/>
          <c:tx>
            <c:strRef>
              <c:f>Age!$A$34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Age!$B$34:$E$34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8F-4A5D-B03D-D90047AD56E6}"/>
            </c:ext>
          </c:extLst>
        </c:ser>
        <c:ser>
          <c:idx val="7"/>
          <c:order val="7"/>
          <c:tx>
            <c:strRef>
              <c:f>Age!$A$35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Age!$B$35:$E$35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8F-4A5D-B03D-D90047AD56E6}"/>
            </c:ext>
          </c:extLst>
        </c:ser>
        <c:ser>
          <c:idx val="8"/>
          <c:order val="8"/>
          <c:tx>
            <c:strRef>
              <c:f>Age!$A$36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Age!$B$36:$E$36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8F-4A5D-B03D-D90047AD56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885105471"/>
        <c:axId val="1421689247"/>
        <c:axId val="0"/>
      </c:bar3DChart>
      <c:catAx>
        <c:axId val="885105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689247"/>
        <c:crosses val="autoZero"/>
        <c:auto val="1"/>
        <c:lblAlgn val="ctr"/>
        <c:lblOffset val="100"/>
        <c:noMultiLvlLbl val="0"/>
      </c:catAx>
      <c:valAx>
        <c:axId val="1421689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10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Age!$A$59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Age!$B$59:$E$59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0-4583-BAB5-1CC2D140D53E}"/>
            </c:ext>
          </c:extLst>
        </c:ser>
        <c:ser>
          <c:idx val="1"/>
          <c:order val="1"/>
          <c:tx>
            <c:strRef>
              <c:f>Age!$A$60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Age!$B$60:$E$60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0-4583-BAB5-1CC2D140D53E}"/>
            </c:ext>
          </c:extLst>
        </c:ser>
        <c:ser>
          <c:idx val="2"/>
          <c:order val="2"/>
          <c:tx>
            <c:strRef>
              <c:f>Age!$A$61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Age!$B$61:$E$61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C0-4583-BAB5-1CC2D140D53E}"/>
            </c:ext>
          </c:extLst>
        </c:ser>
        <c:ser>
          <c:idx val="3"/>
          <c:order val="3"/>
          <c:tx>
            <c:strRef>
              <c:f>Age!$A$62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Age!$B$62:$E$62</c:f>
              <c:numCache>
                <c:formatCode>General</c:formatCode>
                <c:ptCount val="4"/>
                <c:pt idx="0">
                  <c:v>0</c:v>
                </c:pt>
                <c:pt idx="1">
                  <c:v>39</c:v>
                </c:pt>
                <c:pt idx="2">
                  <c:v>39</c:v>
                </c:pt>
                <c:pt idx="3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C0-4583-BAB5-1CC2D140D53E}"/>
            </c:ext>
          </c:extLst>
        </c:ser>
        <c:ser>
          <c:idx val="4"/>
          <c:order val="4"/>
          <c:tx>
            <c:strRef>
              <c:f>Age!$A$63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Age!$B$63:$E$63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21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C0-4583-BAB5-1CC2D140D53E}"/>
            </c:ext>
          </c:extLst>
        </c:ser>
        <c:ser>
          <c:idx val="5"/>
          <c:order val="5"/>
          <c:tx>
            <c:strRef>
              <c:f>Age!$A$64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Age!$B$64:$E$64</c:f>
              <c:numCache>
                <c:formatCode>General</c:formatCode>
                <c:ptCount val="4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C0-4583-BAB5-1CC2D140D53E}"/>
            </c:ext>
          </c:extLst>
        </c:ser>
        <c:ser>
          <c:idx val="6"/>
          <c:order val="6"/>
          <c:tx>
            <c:strRef>
              <c:f>Age!$A$65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Age!$B$65:$E$65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C0-4583-BAB5-1CC2D140D53E}"/>
            </c:ext>
          </c:extLst>
        </c:ser>
        <c:ser>
          <c:idx val="7"/>
          <c:order val="7"/>
          <c:tx>
            <c:strRef>
              <c:f>Age!$A$66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Age!$B$66:$E$66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AC0-4583-BAB5-1CC2D140D53E}"/>
            </c:ext>
          </c:extLst>
        </c:ser>
        <c:ser>
          <c:idx val="8"/>
          <c:order val="8"/>
          <c:tx>
            <c:strRef>
              <c:f>Age!$A$67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Age!$B$67:$E$67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AC0-4583-BAB5-1CC2D140D53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885118911"/>
        <c:axId val="1421695695"/>
        <c:axId val="0"/>
      </c:bar3DChart>
      <c:catAx>
        <c:axId val="88511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695695"/>
        <c:crosses val="autoZero"/>
        <c:auto val="1"/>
        <c:lblAlgn val="ctr"/>
        <c:lblOffset val="100"/>
        <c:noMultiLvlLbl val="0"/>
      </c:catAx>
      <c:valAx>
        <c:axId val="142169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1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0.13333333333333333"/>
                  <c:y val="-5.555555555555555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1A8-4428-BA44-2E055DEBFF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Sheet1!$B$3:$E$3</c:f>
              <c:numCache>
                <c:formatCode>0.00%</c:formatCode>
                <c:ptCount val="4"/>
                <c:pt idx="0">
                  <c:v>0.83</c:v>
                </c:pt>
                <c:pt idx="1">
                  <c:v>0.89</c:v>
                </c:pt>
                <c:pt idx="2">
                  <c:v>0.82</c:v>
                </c:pt>
                <c:pt idx="3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8-4428-BA44-2E055DEBFFD0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0.11388888888888898"/>
                  <c:y val="-7.4074074074074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1A8-4428-BA44-2E055DEBFF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Sheet1!$B$4:$E$4</c:f>
              <c:numCache>
                <c:formatCode>0.00%</c:formatCode>
                <c:ptCount val="4"/>
                <c:pt idx="0">
                  <c:v>0.05</c:v>
                </c:pt>
                <c:pt idx="1">
                  <c:v>0.02</c:v>
                </c:pt>
                <c:pt idx="2">
                  <c:v>0.1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A8-4428-BA44-2E055DEBFFD0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8.3333333333333332E-3"/>
                  <c:y val="-9.4907225138524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440266841644793"/>
                      <c:h val="7.86344415281423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31A8-4428-BA44-2E055DEBFF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Sheet1!$B$5:$E$5</c:f>
              <c:numCache>
                <c:formatCode>0.00%</c:formatCode>
                <c:ptCount val="4"/>
                <c:pt idx="0">
                  <c:v>7.0000000000000007E-2</c:v>
                </c:pt>
                <c:pt idx="1">
                  <c:v>0.04</c:v>
                </c:pt>
                <c:pt idx="2">
                  <c:v>0.06</c:v>
                </c:pt>
                <c:pt idx="3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A8-4428-BA44-2E055DEBFFD0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3.0555555555555555E-2"/>
                  <c:y val="-9.259259259259258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1A8-4428-BA44-2E055DEBFF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Sheet1!$B$6:$E$6</c:f>
              <c:numCache>
                <c:formatCode>0.00%</c:formatCode>
                <c:ptCount val="4"/>
                <c:pt idx="0">
                  <c:v>0.05</c:v>
                </c:pt>
                <c:pt idx="1">
                  <c:v>0.05</c:v>
                </c:pt>
                <c:pt idx="2">
                  <c:v>0.02</c:v>
                </c:pt>
                <c:pt idx="3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1A8-4428-BA44-2E055DEBFF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89584079"/>
        <c:axId val="830582367"/>
      </c:barChart>
      <c:catAx>
        <c:axId val="789584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582367"/>
        <c:crosses val="autoZero"/>
        <c:auto val="1"/>
        <c:lblAlgn val="ctr"/>
        <c:lblOffset val="100"/>
        <c:noMultiLvlLbl val="0"/>
      </c:catAx>
      <c:valAx>
        <c:axId val="83058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5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57150</xdr:rowOff>
    </xdr:from>
    <xdr:to>
      <xdr:col>13</xdr:col>
      <xdr:colOff>352425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29F4EC-BAFC-AF35-2C3B-62BB19620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47625</xdr:colOff>
      <xdr:row>15</xdr:row>
      <xdr:rowOff>165100</xdr:rowOff>
    </xdr:from>
    <xdr:to>
      <xdr:col>13</xdr:col>
      <xdr:colOff>352425</xdr:colOff>
      <xdr:row>30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18756-BD45-37E1-B8A0-DC3B0B815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44647</xdr:colOff>
      <xdr:row>31</xdr:row>
      <xdr:rowOff>170458</xdr:rowOff>
    </xdr:from>
    <xdr:to>
      <xdr:col>13</xdr:col>
      <xdr:colOff>362941</xdr:colOff>
      <xdr:row>47</xdr:row>
      <xdr:rowOff>49808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DEB965-0531-6319-1CA8-D745EE5648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329712</xdr:colOff>
      <xdr:row>1</xdr:row>
      <xdr:rowOff>75956</xdr:rowOff>
    </xdr:from>
    <xdr:to>
      <xdr:col>16</xdr:col>
      <xdr:colOff>39810</xdr:colOff>
      <xdr:row>16</xdr:row>
      <xdr:rowOff>71560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8254D4-7144-B252-EA24-4FEDE3745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410308</xdr:colOff>
      <xdr:row>19</xdr:row>
      <xdr:rowOff>83283</xdr:rowOff>
    </xdr:from>
    <xdr:to>
      <xdr:col>16</xdr:col>
      <xdr:colOff>120406</xdr:colOff>
      <xdr:row>34</xdr:row>
      <xdr:rowOff>78886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A3D613-3EB3-CA0D-FD22-9C208823FF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468923</xdr:colOff>
      <xdr:row>35</xdr:row>
      <xdr:rowOff>112591</xdr:rowOff>
    </xdr:from>
    <xdr:to>
      <xdr:col>16</xdr:col>
      <xdr:colOff>179021</xdr:colOff>
      <xdr:row>50</xdr:row>
      <xdr:rowOff>108195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7ADA39-6572-C1B7-6A9F-E9CAA9029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264077</xdr:colOff>
      <xdr:row>1</xdr:row>
      <xdr:rowOff>58116</xdr:rowOff>
    </xdr:from>
    <xdr:to>
      <xdr:col>22</xdr:col>
      <xdr:colOff>182216</xdr:colOff>
      <xdr:row>24</xdr:row>
      <xdr:rowOff>157370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562B51-FBB0-D57D-23A1-99BBE794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275535</xdr:colOff>
      <xdr:row>25</xdr:row>
      <xdr:rowOff>104636</xdr:rowOff>
    </xdr:from>
    <xdr:to>
      <xdr:col>22</xdr:col>
      <xdr:colOff>190500</xdr:colOff>
      <xdr:row>47</xdr:row>
      <xdr:rowOff>182217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2520F9-DEB6-A55F-C3F0-3190EE259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294032</xdr:colOff>
      <xdr:row>48</xdr:row>
      <xdr:rowOff>162615</xdr:rowOff>
    </xdr:from>
    <xdr:to>
      <xdr:col>22</xdr:col>
      <xdr:colOff>240195</xdr:colOff>
      <xdr:row>70</xdr:row>
      <xdr:rowOff>149087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ABD05A-42F4-AB9E-058C-88AC1D0DA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441325</xdr:colOff>
      <xdr:row>1</xdr:row>
      <xdr:rowOff>25400</xdr:rowOff>
    </xdr:from>
    <xdr:to>
      <xdr:col>13</xdr:col>
      <xdr:colOff>136525</xdr:colOff>
      <xdr:row>16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53AC88-F8E7-4106-AF9E-4867F69BC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EDD88-CDFD-4718-982F-70F14D607C24}">
  <dimension ref="A1:E40"/>
  <sheetViews>
    <sheetView topLeftCell="A21" zoomScale="80" zoomScaleNormal="160" workbookViewId="0">
      <selection activeCell="F40" sqref="F40"/>
    </sheetView>
  </sheetViews>
  <sheetFormatPr defaultRowHeight="14.5" x14ac:dyDescent="0.35"/>
  <sheetData>
    <row r="1" spans="1:5" x14ac:dyDescent="0.35">
      <c r="B1" t="s">
        <v>7</v>
      </c>
      <c r="C1" t="s">
        <v>6</v>
      </c>
      <c r="D1" t="s">
        <v>5</v>
      </c>
      <c r="E1" t="s">
        <v>4</v>
      </c>
    </row>
    <row r="2" spans="1:5" x14ac:dyDescent="0.35">
      <c r="A2" t="s">
        <v>0</v>
      </c>
      <c r="B2">
        <v>91</v>
      </c>
      <c r="C2">
        <v>82</v>
      </c>
      <c r="D2">
        <v>89</v>
      </c>
      <c r="E2">
        <v>83</v>
      </c>
    </row>
    <row r="3" spans="1:5" x14ac:dyDescent="0.35">
      <c r="A3" t="s">
        <v>1</v>
      </c>
      <c r="B3">
        <v>3</v>
      </c>
      <c r="C3">
        <v>2</v>
      </c>
      <c r="D3">
        <v>5</v>
      </c>
      <c r="E3">
        <v>5</v>
      </c>
    </row>
    <row r="4" spans="1:5" x14ac:dyDescent="0.35">
      <c r="A4" t="s">
        <v>2</v>
      </c>
      <c r="B4">
        <v>4</v>
      </c>
      <c r="C4">
        <v>6</v>
      </c>
      <c r="D4">
        <v>4</v>
      </c>
      <c r="E4">
        <v>7</v>
      </c>
    </row>
    <row r="5" spans="1:5" x14ac:dyDescent="0.35">
      <c r="A5" t="s">
        <v>3</v>
      </c>
      <c r="B5">
        <v>2</v>
      </c>
      <c r="C5">
        <v>10</v>
      </c>
      <c r="D5">
        <v>2</v>
      </c>
      <c r="E5">
        <v>5</v>
      </c>
    </row>
    <row r="6" spans="1:5" x14ac:dyDescent="0.35">
      <c r="B6">
        <f>_xlfn.STDEV.P(B2:B5)</f>
        <v>38.11167800031901</v>
      </c>
      <c r="C6">
        <f>_xlfn.STDEV.P(C2:C5)</f>
        <v>33.030289129827487</v>
      </c>
      <c r="D6">
        <f>_xlfn.STDEV.P(D2:D5)</f>
        <v>36.966200778549045</v>
      </c>
      <c r="E6">
        <f>_xlfn.STDEV.P(E2:E5)</f>
        <v>33.496268448888451</v>
      </c>
    </row>
    <row r="19" spans="1:5" x14ac:dyDescent="0.35">
      <c r="B19" t="s">
        <v>7</v>
      </c>
      <c r="C19" t="s">
        <v>6</v>
      </c>
      <c r="D19" t="s">
        <v>5</v>
      </c>
      <c r="E19" t="s">
        <v>8</v>
      </c>
    </row>
    <row r="20" spans="1:5" x14ac:dyDescent="0.35">
      <c r="A20" t="s">
        <v>0</v>
      </c>
      <c r="B20">
        <v>0</v>
      </c>
      <c r="C20">
        <v>24</v>
      </c>
      <c r="D20">
        <v>51</v>
      </c>
      <c r="E20">
        <v>34</v>
      </c>
    </row>
    <row r="21" spans="1:5" x14ac:dyDescent="0.35">
      <c r="A21" t="s">
        <v>1</v>
      </c>
      <c r="B21">
        <v>0</v>
      </c>
      <c r="C21">
        <v>19</v>
      </c>
      <c r="D21">
        <v>33</v>
      </c>
      <c r="E21">
        <v>31</v>
      </c>
    </row>
    <row r="22" spans="1:5" x14ac:dyDescent="0.35">
      <c r="A22" t="s">
        <v>2</v>
      </c>
      <c r="B22">
        <v>0</v>
      </c>
      <c r="C22">
        <v>13</v>
      </c>
      <c r="D22">
        <v>7</v>
      </c>
      <c r="E22">
        <v>15</v>
      </c>
    </row>
    <row r="23" spans="1:5" x14ac:dyDescent="0.35">
      <c r="A23" t="s">
        <v>3</v>
      </c>
      <c r="B23">
        <v>0</v>
      </c>
      <c r="C23">
        <v>44</v>
      </c>
      <c r="D23">
        <v>9</v>
      </c>
      <c r="E23">
        <v>20</v>
      </c>
    </row>
    <row r="24" spans="1:5" x14ac:dyDescent="0.35">
      <c r="C24">
        <f>_xlfn.STDEV.P(C20:C23)</f>
        <v>11.640446726822816</v>
      </c>
      <c r="D24">
        <f>_xlfn.STDEV.P(D20:D23)</f>
        <v>18.165902124584949</v>
      </c>
      <c r="E24">
        <f>_xlfn.STDEV.P(E20:E23)</f>
        <v>7.7781745930520225</v>
      </c>
    </row>
    <row r="35" spans="1:5" x14ac:dyDescent="0.35">
      <c r="B35" t="s">
        <v>7</v>
      </c>
      <c r="C35" t="s">
        <v>6</v>
      </c>
      <c r="D35" t="s">
        <v>5</v>
      </c>
      <c r="E35" t="s">
        <v>9</v>
      </c>
    </row>
    <row r="36" spans="1:5" x14ac:dyDescent="0.35">
      <c r="A36" t="s">
        <v>0</v>
      </c>
      <c r="B36">
        <v>0</v>
      </c>
      <c r="C36">
        <v>22</v>
      </c>
      <c r="D36">
        <v>42</v>
      </c>
      <c r="E36">
        <v>25</v>
      </c>
    </row>
    <row r="37" spans="1:5" x14ac:dyDescent="0.35">
      <c r="A37" t="s">
        <v>1</v>
      </c>
      <c r="B37">
        <v>0</v>
      </c>
      <c r="C37">
        <v>24</v>
      </c>
      <c r="D37">
        <v>27</v>
      </c>
      <c r="E37">
        <v>25</v>
      </c>
    </row>
    <row r="38" spans="1:5" x14ac:dyDescent="0.35">
      <c r="A38" t="s">
        <v>2</v>
      </c>
      <c r="B38">
        <v>0</v>
      </c>
      <c r="C38">
        <v>19</v>
      </c>
      <c r="D38">
        <v>16</v>
      </c>
      <c r="E38">
        <v>25</v>
      </c>
    </row>
    <row r="39" spans="1:5" x14ac:dyDescent="0.35">
      <c r="A39" t="s">
        <v>3</v>
      </c>
      <c r="B39">
        <v>0</v>
      </c>
      <c r="C39">
        <v>35</v>
      </c>
      <c r="D39">
        <v>15</v>
      </c>
      <c r="E39">
        <v>25</v>
      </c>
    </row>
    <row r="40" spans="1:5" x14ac:dyDescent="0.35">
      <c r="C40">
        <f>_xlfn.STDEV.P(C36:C39)</f>
        <v>6.0415229867972862</v>
      </c>
      <c r="D40">
        <f>_xlfn.STDEV.P(D36:D39)</f>
        <v>10.88577052853862</v>
      </c>
      <c r="E40">
        <f>_xlfn.STDEV.P(E36:E39)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58746-3744-4B82-8B08-EB82932AB76F}">
  <dimension ref="A1:E23"/>
  <sheetViews>
    <sheetView zoomScale="99" zoomScaleNormal="130" workbookViewId="0">
      <selection activeCell="G23" sqref="G23"/>
    </sheetView>
  </sheetViews>
  <sheetFormatPr defaultRowHeight="14.5" x14ac:dyDescent="0.35"/>
  <sheetData>
    <row r="1" spans="1:5" x14ac:dyDescent="0.35">
      <c r="B1" t="s">
        <v>7</v>
      </c>
      <c r="C1" t="s">
        <v>6</v>
      </c>
      <c r="D1" t="s">
        <v>5</v>
      </c>
      <c r="E1" t="s">
        <v>4</v>
      </c>
    </row>
    <row r="2" spans="1:5" x14ac:dyDescent="0.35">
      <c r="A2" t="s">
        <v>10</v>
      </c>
      <c r="B2">
        <v>34</v>
      </c>
      <c r="C2">
        <v>31</v>
      </c>
      <c r="D2">
        <v>29</v>
      </c>
      <c r="E2">
        <v>36</v>
      </c>
    </row>
    <row r="3" spans="1:5" x14ac:dyDescent="0.35">
      <c r="A3" t="s">
        <v>11</v>
      </c>
      <c r="B3">
        <v>66</v>
      </c>
      <c r="C3">
        <v>69</v>
      </c>
      <c r="D3">
        <v>71</v>
      </c>
      <c r="E3">
        <v>64</v>
      </c>
    </row>
    <row r="4" spans="1:5" x14ac:dyDescent="0.35">
      <c r="B4">
        <f>_xlfn.STDEV.P(B2:B3)</f>
        <v>16</v>
      </c>
      <c r="C4">
        <f>_xlfn.STDEV.P(C2:C3)</f>
        <v>19</v>
      </c>
      <c r="D4">
        <f>_xlfn.STDEV.P(D2:D3)</f>
        <v>21</v>
      </c>
      <c r="E4">
        <f>_xlfn.STDEV.P(E2:E3)</f>
        <v>14</v>
      </c>
    </row>
    <row r="11" spans="1:5" x14ac:dyDescent="0.35">
      <c r="B11" t="s">
        <v>7</v>
      </c>
      <c r="C11" t="s">
        <v>6</v>
      </c>
      <c r="D11" t="s">
        <v>5</v>
      </c>
      <c r="E11" t="s">
        <v>8</v>
      </c>
    </row>
    <row r="12" spans="1:5" x14ac:dyDescent="0.35">
      <c r="A12" t="s">
        <v>10</v>
      </c>
      <c r="B12">
        <v>0</v>
      </c>
      <c r="C12">
        <v>44</v>
      </c>
      <c r="D12">
        <v>42</v>
      </c>
      <c r="E12">
        <v>54</v>
      </c>
    </row>
    <row r="13" spans="1:5" x14ac:dyDescent="0.35">
      <c r="A13" t="s">
        <v>11</v>
      </c>
      <c r="B13">
        <v>0</v>
      </c>
      <c r="C13">
        <v>56</v>
      </c>
      <c r="D13">
        <v>58</v>
      </c>
      <c r="E13">
        <v>46</v>
      </c>
    </row>
    <row r="14" spans="1:5" x14ac:dyDescent="0.35">
      <c r="C14">
        <f>_xlfn.STDEV.P(C12:C13)</f>
        <v>6</v>
      </c>
      <c r="D14">
        <f>_xlfn.STDEV.P(D12:D13)</f>
        <v>8</v>
      </c>
      <c r="E14">
        <f>_xlfn.STDEV.P(E12:E13)</f>
        <v>4</v>
      </c>
    </row>
    <row r="20" spans="1:5" x14ac:dyDescent="0.35">
      <c r="B20" t="s">
        <v>7</v>
      </c>
      <c r="C20" t="s">
        <v>6</v>
      </c>
      <c r="D20" t="s">
        <v>5</v>
      </c>
      <c r="E20" t="s">
        <v>9</v>
      </c>
    </row>
    <row r="21" spans="1:5" x14ac:dyDescent="0.35">
      <c r="A21" t="s">
        <v>10</v>
      </c>
      <c r="B21">
        <v>0</v>
      </c>
      <c r="C21">
        <v>43</v>
      </c>
      <c r="D21">
        <v>44</v>
      </c>
      <c r="E21">
        <v>50</v>
      </c>
    </row>
    <row r="22" spans="1:5" x14ac:dyDescent="0.35">
      <c r="A22" t="s">
        <v>11</v>
      </c>
      <c r="B22">
        <v>0</v>
      </c>
      <c r="C22">
        <v>57</v>
      </c>
      <c r="D22">
        <v>56</v>
      </c>
      <c r="E22">
        <v>50</v>
      </c>
    </row>
    <row r="23" spans="1:5" x14ac:dyDescent="0.35">
      <c r="C23">
        <f>_xlfn.STDEV.P(C21:C22)</f>
        <v>7</v>
      </c>
      <c r="D23">
        <f>_xlfn.STDEV.P(D21:D22)</f>
        <v>6</v>
      </c>
      <c r="E23">
        <f>_xlfn.STDEV.P(E21:E22)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9357F-AD3C-44D1-B927-177F107C4D86}">
  <dimension ref="A1:E68"/>
  <sheetViews>
    <sheetView topLeftCell="A54" zoomScale="115" zoomScaleNormal="115" workbookViewId="0">
      <selection activeCell="F66" sqref="F66"/>
    </sheetView>
  </sheetViews>
  <sheetFormatPr defaultRowHeight="14.5" x14ac:dyDescent="0.35"/>
  <sheetData>
    <row r="1" spans="1:5" x14ac:dyDescent="0.35">
      <c r="B1" t="s">
        <v>7</v>
      </c>
      <c r="C1" t="s">
        <v>6</v>
      </c>
      <c r="D1" t="s">
        <v>5</v>
      </c>
      <c r="E1" t="s">
        <v>4</v>
      </c>
    </row>
    <row r="2" spans="1:5" x14ac:dyDescent="0.35">
      <c r="A2" t="s">
        <v>12</v>
      </c>
      <c r="B2">
        <v>3</v>
      </c>
      <c r="C2">
        <v>1</v>
      </c>
      <c r="D2">
        <v>3</v>
      </c>
      <c r="E2">
        <v>3</v>
      </c>
    </row>
    <row r="3" spans="1:5" x14ac:dyDescent="0.35">
      <c r="A3" t="s">
        <v>13</v>
      </c>
      <c r="B3">
        <v>67</v>
      </c>
      <c r="C3">
        <v>60</v>
      </c>
      <c r="D3">
        <v>80</v>
      </c>
      <c r="E3">
        <v>61</v>
      </c>
    </row>
    <row r="4" spans="1:5" x14ac:dyDescent="0.35">
      <c r="A4" t="s">
        <v>14</v>
      </c>
      <c r="B4">
        <v>16</v>
      </c>
      <c r="C4">
        <v>28</v>
      </c>
      <c r="D4">
        <v>14</v>
      </c>
      <c r="E4">
        <v>21</v>
      </c>
    </row>
    <row r="5" spans="1:5" x14ac:dyDescent="0.35">
      <c r="A5" t="s">
        <v>15</v>
      </c>
      <c r="B5">
        <v>7</v>
      </c>
      <c r="C5">
        <v>6</v>
      </c>
      <c r="D5">
        <v>2</v>
      </c>
      <c r="E5">
        <v>7</v>
      </c>
    </row>
    <row r="6" spans="1:5" x14ac:dyDescent="0.35">
      <c r="A6" t="s">
        <v>16</v>
      </c>
      <c r="B6">
        <v>5</v>
      </c>
      <c r="C6">
        <v>4</v>
      </c>
      <c r="D6">
        <v>1</v>
      </c>
      <c r="E6">
        <v>5</v>
      </c>
    </row>
    <row r="7" spans="1:5" x14ac:dyDescent="0.35">
      <c r="A7" t="s">
        <v>17</v>
      </c>
      <c r="B7">
        <v>2</v>
      </c>
      <c r="C7">
        <v>1</v>
      </c>
      <c r="D7">
        <v>0</v>
      </c>
      <c r="E7">
        <v>2</v>
      </c>
    </row>
    <row r="8" spans="1:5" x14ac:dyDescent="0.35">
      <c r="A8" t="s">
        <v>18</v>
      </c>
      <c r="B8">
        <v>0</v>
      </c>
      <c r="C8">
        <v>0</v>
      </c>
      <c r="D8">
        <v>0</v>
      </c>
      <c r="E8">
        <v>1</v>
      </c>
    </row>
    <row r="9" spans="1:5" x14ac:dyDescent="0.35">
      <c r="B9">
        <f>_xlfn.STDEV.P(B2:B8)</f>
        <v>22.050035864656845</v>
      </c>
      <c r="C9">
        <f>_xlfn.STDEV.P(C2:C8)</f>
        <v>20.734472921850191</v>
      </c>
      <c r="D9">
        <f>_xlfn.STDEV.P(D2:D8)</f>
        <v>27.206691853892362</v>
      </c>
      <c r="E9">
        <f>_xlfn.STDEV.P(E2:E8)</f>
        <v>20.076384746507422</v>
      </c>
    </row>
    <row r="27" spans="1:5" x14ac:dyDescent="0.35">
      <c r="B27" t="s">
        <v>7</v>
      </c>
      <c r="C27" t="s">
        <v>6</v>
      </c>
      <c r="D27" t="s">
        <v>5</v>
      </c>
      <c r="E27" t="s">
        <v>8</v>
      </c>
    </row>
    <row r="28" spans="1:5" x14ac:dyDescent="0.35">
      <c r="A28" t="s">
        <v>19</v>
      </c>
      <c r="B28">
        <v>0</v>
      </c>
      <c r="C28">
        <v>0</v>
      </c>
      <c r="D28">
        <v>1</v>
      </c>
      <c r="E28">
        <v>2</v>
      </c>
    </row>
    <row r="29" spans="1:5" x14ac:dyDescent="0.35">
      <c r="A29" t="s">
        <v>20</v>
      </c>
      <c r="B29">
        <v>0</v>
      </c>
      <c r="C29">
        <v>11</v>
      </c>
      <c r="D29">
        <v>12</v>
      </c>
      <c r="E29">
        <v>13</v>
      </c>
    </row>
    <row r="30" spans="1:5" x14ac:dyDescent="0.35">
      <c r="A30" t="s">
        <v>12</v>
      </c>
      <c r="B30">
        <v>0</v>
      </c>
      <c r="C30">
        <v>8</v>
      </c>
      <c r="D30">
        <v>19</v>
      </c>
      <c r="E30">
        <v>8</v>
      </c>
    </row>
    <row r="31" spans="1:5" x14ac:dyDescent="0.35">
      <c r="A31" t="s">
        <v>13</v>
      </c>
      <c r="B31">
        <v>0</v>
      </c>
      <c r="C31">
        <v>49</v>
      </c>
      <c r="D31">
        <v>45</v>
      </c>
      <c r="E31">
        <v>35</v>
      </c>
    </row>
    <row r="32" spans="1:5" x14ac:dyDescent="0.35">
      <c r="A32" t="s">
        <v>14</v>
      </c>
      <c r="B32">
        <v>0</v>
      </c>
      <c r="C32">
        <v>25</v>
      </c>
      <c r="D32">
        <v>16</v>
      </c>
      <c r="E32">
        <v>21</v>
      </c>
    </row>
    <row r="33" spans="1:5" x14ac:dyDescent="0.35">
      <c r="A33" t="s">
        <v>15</v>
      </c>
      <c r="B33">
        <v>0</v>
      </c>
      <c r="C33">
        <v>6</v>
      </c>
      <c r="D33">
        <v>6</v>
      </c>
      <c r="E33">
        <v>11</v>
      </c>
    </row>
    <row r="34" spans="1:5" x14ac:dyDescent="0.35">
      <c r="A34" t="s">
        <v>16</v>
      </c>
      <c r="B34">
        <v>0</v>
      </c>
      <c r="C34">
        <v>1</v>
      </c>
      <c r="D34">
        <v>1</v>
      </c>
      <c r="E34">
        <v>7</v>
      </c>
    </row>
    <row r="35" spans="1:5" x14ac:dyDescent="0.35">
      <c r="A35" t="s">
        <v>17</v>
      </c>
      <c r="B35">
        <v>0</v>
      </c>
      <c r="C35">
        <v>0</v>
      </c>
      <c r="D35">
        <v>0</v>
      </c>
      <c r="E35">
        <v>2</v>
      </c>
    </row>
    <row r="36" spans="1:5" x14ac:dyDescent="0.35">
      <c r="A36" t="s">
        <v>18</v>
      </c>
      <c r="B36">
        <v>0</v>
      </c>
      <c r="C36">
        <v>0</v>
      </c>
      <c r="D36">
        <v>0</v>
      </c>
      <c r="E36">
        <v>1</v>
      </c>
    </row>
    <row r="37" spans="1:5" x14ac:dyDescent="0.35">
      <c r="B37">
        <f>_xlfn.STDEV.P(B28:B36)</f>
        <v>0</v>
      </c>
      <c r="C37">
        <f>_xlfn.STDEV.P(C28:C36)</f>
        <v>15.408831842986414</v>
      </c>
      <c r="D37">
        <f>_xlfn.STDEV.P(D28:D36)</f>
        <v>13.79568728459445</v>
      </c>
      <c r="E37">
        <f>_xlfn.STDEV.P(E28:E36)</f>
        <v>10.364945671127858</v>
      </c>
    </row>
    <row r="58" spans="1:5" x14ac:dyDescent="0.35">
      <c r="B58" t="s">
        <v>7</v>
      </c>
      <c r="C58" t="s">
        <v>6</v>
      </c>
      <c r="D58" t="s">
        <v>5</v>
      </c>
      <c r="E58" t="s">
        <v>9</v>
      </c>
    </row>
    <row r="59" spans="1:5" x14ac:dyDescent="0.35">
      <c r="A59" t="s">
        <v>19</v>
      </c>
      <c r="B59">
        <v>0</v>
      </c>
      <c r="C59">
        <v>2</v>
      </c>
      <c r="D59">
        <v>1</v>
      </c>
      <c r="E59">
        <v>2</v>
      </c>
    </row>
    <row r="60" spans="1:5" x14ac:dyDescent="0.35">
      <c r="A60" t="s">
        <v>20</v>
      </c>
      <c r="B60">
        <v>0</v>
      </c>
      <c r="C60">
        <v>13</v>
      </c>
      <c r="D60">
        <v>12</v>
      </c>
      <c r="E60">
        <v>14</v>
      </c>
    </row>
    <row r="61" spans="1:5" x14ac:dyDescent="0.35">
      <c r="A61" t="s">
        <v>12</v>
      </c>
      <c r="B61">
        <v>0</v>
      </c>
      <c r="C61">
        <v>8</v>
      </c>
      <c r="D61">
        <v>13</v>
      </c>
      <c r="E61">
        <v>9</v>
      </c>
    </row>
    <row r="62" spans="1:5" x14ac:dyDescent="0.35">
      <c r="A62" t="s">
        <v>13</v>
      </c>
      <c r="B62">
        <v>0</v>
      </c>
      <c r="C62">
        <v>39</v>
      </c>
      <c r="D62">
        <v>39</v>
      </c>
      <c r="E62">
        <v>34</v>
      </c>
    </row>
    <row r="63" spans="1:5" x14ac:dyDescent="0.35">
      <c r="A63" t="s">
        <v>14</v>
      </c>
      <c r="B63">
        <v>0</v>
      </c>
      <c r="C63">
        <v>25</v>
      </c>
      <c r="D63">
        <v>21</v>
      </c>
      <c r="E63">
        <v>21</v>
      </c>
    </row>
    <row r="64" spans="1:5" x14ac:dyDescent="0.35">
      <c r="A64" t="s">
        <v>15</v>
      </c>
      <c r="B64">
        <v>0</v>
      </c>
      <c r="C64">
        <v>9</v>
      </c>
      <c r="D64">
        <v>9</v>
      </c>
      <c r="E64">
        <v>11</v>
      </c>
    </row>
    <row r="65" spans="1:5" x14ac:dyDescent="0.35">
      <c r="A65" t="s">
        <v>16</v>
      </c>
      <c r="B65">
        <v>0</v>
      </c>
      <c r="C65">
        <v>3</v>
      </c>
      <c r="D65">
        <v>4</v>
      </c>
      <c r="E65">
        <v>6</v>
      </c>
    </row>
    <row r="66" spans="1:5" x14ac:dyDescent="0.35">
      <c r="A66" t="s">
        <v>17</v>
      </c>
      <c r="B66">
        <v>0</v>
      </c>
      <c r="C66">
        <v>1</v>
      </c>
      <c r="D66">
        <v>1</v>
      </c>
      <c r="E66">
        <v>2</v>
      </c>
    </row>
    <row r="67" spans="1:5" x14ac:dyDescent="0.35">
      <c r="A67" t="s">
        <v>18</v>
      </c>
      <c r="B67">
        <v>0</v>
      </c>
      <c r="C67">
        <v>0</v>
      </c>
      <c r="D67">
        <v>0</v>
      </c>
      <c r="E67">
        <v>1</v>
      </c>
    </row>
    <row r="68" spans="1:5" x14ac:dyDescent="0.35">
      <c r="C68">
        <f>_xlfn.STDEV.P(C59:C67)</f>
        <v>12.305775016854165</v>
      </c>
      <c r="D68">
        <f>_xlfn.STDEV.P(D59:D67)</f>
        <v>11.845716004291214</v>
      </c>
      <c r="E68">
        <f>_xlfn.STDEV.P(E59:E67)</f>
        <v>10.159226178366632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726D-E4B2-45A4-89DF-13A44449D3BC}">
  <dimension ref="A2:E6"/>
  <sheetViews>
    <sheetView tabSelected="1" zoomScale="85" zoomScaleNormal="85" workbookViewId="0">
      <selection activeCell="E19" sqref="E19"/>
    </sheetView>
  </sheetViews>
  <sheetFormatPr defaultRowHeight="14.5" x14ac:dyDescent="0.35"/>
  <sheetData>
    <row r="2" spans="1:5" x14ac:dyDescent="0.35">
      <c r="B2" t="s">
        <v>24</v>
      </c>
      <c r="C2" t="s">
        <v>23</v>
      </c>
      <c r="D2" t="s">
        <v>22</v>
      </c>
      <c r="E2" t="s">
        <v>21</v>
      </c>
    </row>
    <row r="3" spans="1:5" x14ac:dyDescent="0.35">
      <c r="A3" t="s">
        <v>0</v>
      </c>
      <c r="B3" s="1">
        <v>0.83</v>
      </c>
      <c r="C3" s="1">
        <v>0.89</v>
      </c>
      <c r="D3" s="1">
        <v>0.82</v>
      </c>
      <c r="E3" s="1">
        <v>0.91</v>
      </c>
    </row>
    <row r="4" spans="1:5" x14ac:dyDescent="0.35">
      <c r="A4" t="s">
        <v>3</v>
      </c>
      <c r="B4" s="1">
        <v>0.05</v>
      </c>
      <c r="C4" s="1">
        <v>0.02</v>
      </c>
      <c r="D4" s="1">
        <v>0.1</v>
      </c>
      <c r="E4" s="1">
        <v>0.02</v>
      </c>
    </row>
    <row r="5" spans="1:5" x14ac:dyDescent="0.35">
      <c r="A5" t="s">
        <v>2</v>
      </c>
      <c r="B5" s="1">
        <v>7.0000000000000007E-2</v>
      </c>
      <c r="C5" s="1">
        <v>0.04</v>
      </c>
      <c r="D5" s="1">
        <v>0.06</v>
      </c>
      <c r="E5" s="1">
        <v>0.04</v>
      </c>
    </row>
    <row r="6" spans="1:5" x14ac:dyDescent="0.35">
      <c r="A6" t="s">
        <v>1</v>
      </c>
      <c r="B6" s="1">
        <v>0.05</v>
      </c>
      <c r="C6" s="1">
        <v>0.05</v>
      </c>
      <c r="D6" s="1">
        <v>0.02</v>
      </c>
      <c r="E6" s="1">
        <v>0.03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Race</vt:lpstr>
      <vt:lpstr>Gender</vt:lpstr>
      <vt:lpstr>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Subir Parida</dc:creator>
  <cp:lastModifiedBy>Subir Parida</cp:lastModifiedBy>
  <dcterms:created xsi:type="dcterms:W3CDTF">2024-02-17T17:49:25Z</dcterms:created>
  <dcterms:modified xsi:type="dcterms:W3CDTF">2024-02-22T03:58:32Z</dcterms:modified>
</cp:coreProperties>
</file>