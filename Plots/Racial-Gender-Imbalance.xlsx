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ae42a5ff17c16/Documents/GitHub/Diffusion/Plots/"/>
    </mc:Choice>
  </mc:AlternateContent>
  <xr:revisionPtr revIDLastSave="371" documentId="13_ncr:1_{B26C72A6-538E-46C6-AA8D-2A1B66CCFA35}" xr6:coauthVersionLast="47" xr6:coauthVersionMax="47" xr10:uidLastSave="{C750E041-7AF1-4B62-AC73-91BC5BE50002}"/>
  <bookViews>
    <workbookView xWindow="-110" yWindow="-110" windowWidth="19420" windowHeight="10300" xr2:uid="{F67D4908-C1D3-42DC-AAAE-E71A5B929D9F}"/>
  </bookViews>
  <sheets>
    <sheet name="Sheet3" sheetId="4" r:id="rId1"/>
    <sheet name="CelebA-HQ" sheetId="1" r:id="rId2"/>
    <sheet name="plot" sheetId="5" r:id="rId3"/>
    <sheet name="plot2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6" l="1"/>
  <c r="I19" i="6"/>
  <c r="H19" i="6"/>
  <c r="G19" i="6"/>
  <c r="F19" i="6"/>
  <c r="E19" i="6"/>
  <c r="D19" i="6"/>
  <c r="C19" i="6"/>
  <c r="K19" i="6"/>
  <c r="J18" i="6"/>
  <c r="I18" i="6"/>
  <c r="H18" i="6"/>
  <c r="G18" i="6"/>
  <c r="F18" i="6"/>
  <c r="E18" i="6"/>
  <c r="D18" i="6"/>
  <c r="C18" i="6"/>
  <c r="K20" i="6"/>
  <c r="K17" i="6"/>
  <c r="C17" i="6"/>
  <c r="J11" i="6"/>
  <c r="I11" i="6"/>
  <c r="H11" i="6"/>
  <c r="G11" i="6"/>
  <c r="F11" i="6"/>
  <c r="E11" i="6"/>
  <c r="D11" i="6"/>
  <c r="C11" i="6"/>
  <c r="J12" i="6"/>
  <c r="I12" i="6"/>
  <c r="H12" i="6"/>
  <c r="G12" i="6"/>
  <c r="F12" i="6"/>
  <c r="E12" i="6"/>
  <c r="D12" i="6"/>
  <c r="C12" i="6"/>
  <c r="K12" i="6" s="1"/>
  <c r="K18" i="6"/>
  <c r="I10" i="6"/>
  <c r="J10" i="6"/>
  <c r="G10" i="6"/>
  <c r="H10" i="6"/>
  <c r="E10" i="6"/>
  <c r="F10" i="6"/>
  <c r="C10" i="6"/>
  <c r="D10" i="6"/>
  <c r="O3" i="6"/>
  <c r="O4" i="6"/>
  <c r="O5" i="6"/>
  <c r="O2" i="6"/>
  <c r="L4" i="6"/>
  <c r="L5" i="6"/>
  <c r="L6" i="6"/>
  <c r="L3" i="6"/>
  <c r="K4" i="6"/>
  <c r="K5" i="6"/>
  <c r="K6" i="6"/>
  <c r="K3" i="6"/>
  <c r="K10" i="6" l="1"/>
  <c r="K11" i="6"/>
</calcChain>
</file>

<file path=xl/sharedStrings.xml><?xml version="1.0" encoding="utf-8"?>
<sst xmlns="http://schemas.openxmlformats.org/spreadsheetml/2006/main" count="262" uniqueCount="26">
  <si>
    <t>Dataset</t>
  </si>
  <si>
    <t>Race</t>
  </si>
  <si>
    <t>generation in percentage</t>
  </si>
  <si>
    <t>Train data</t>
  </si>
  <si>
    <t>White</t>
  </si>
  <si>
    <t>Asian</t>
  </si>
  <si>
    <t>Black</t>
  </si>
  <si>
    <t>Indian</t>
  </si>
  <si>
    <t>DDPM</t>
  </si>
  <si>
    <t>DDGAN</t>
  </si>
  <si>
    <t>LDM</t>
  </si>
  <si>
    <t>Gender</t>
  </si>
  <si>
    <t>Male</t>
  </si>
  <si>
    <t>Female</t>
  </si>
  <si>
    <t>Row Labels</t>
  </si>
  <si>
    <t>(blank)</t>
  </si>
  <si>
    <t>Grand Total</t>
  </si>
  <si>
    <t>Sum of generation in percentage</t>
  </si>
  <si>
    <t>Models</t>
  </si>
  <si>
    <t>CelebA</t>
  </si>
  <si>
    <t>FairFace</t>
  </si>
  <si>
    <t>Bal-FairFace</t>
  </si>
  <si>
    <t>sigma</t>
  </si>
  <si>
    <t>Std. dev</t>
  </si>
  <si>
    <t>CelebA-HQ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</si>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</sst>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plot!$A$2:$B$17</c:f>
              <c:multiLvlStrCache>
                <c:ptCount val="16"/>
                <c:lvl>
                  <c:pt idx="0">
                    <c:v>Train data</c:v>
                  </c:pt>
                  <c:pt idx="1">
                    <c:v>DDPM</c:v>
                  </c:pt>
                  <c:pt idx="2">
                    <c:v>DDGAN</c:v>
                  </c:pt>
                  <c:pt idx="3">
                    <c:v>LDM</c:v>
                  </c:pt>
                  <c:pt idx="4">
                    <c:v>Train data</c:v>
                  </c:pt>
                  <c:pt idx="5">
                    <c:v>DDPM</c:v>
                  </c:pt>
                  <c:pt idx="6">
                    <c:v>DDGAN</c:v>
                  </c:pt>
                  <c:pt idx="7">
                    <c:v>LDM</c:v>
                  </c:pt>
                  <c:pt idx="8">
                    <c:v>Train data</c:v>
                  </c:pt>
                  <c:pt idx="9">
                    <c:v>DDPM</c:v>
                  </c:pt>
                  <c:pt idx="10">
                    <c:v>DDGAN</c:v>
                  </c:pt>
                  <c:pt idx="11">
                    <c:v>LDM</c:v>
                  </c:pt>
                  <c:pt idx="12">
                    <c:v>Train data</c:v>
                  </c:pt>
                  <c:pt idx="13">
                    <c:v>DDPM</c:v>
                  </c:pt>
                  <c:pt idx="14">
                    <c:v>DDGAN</c:v>
                  </c:pt>
                  <c:pt idx="15">
                    <c:v>LDM</c:v>
                  </c:pt>
                </c:lvl>
                <c:lvl>
                  <c:pt idx="0">
                    <c:v>White</c:v>
                  </c:pt>
                  <c:pt idx="4">
                    <c:v>Black</c:v>
                  </c:pt>
                  <c:pt idx="8">
                    <c:v>Indian</c:v>
                  </c:pt>
                  <c:pt idx="12">
                    <c:v>Asian</c:v>
                  </c:pt>
                </c:lvl>
              </c:multiLvlStrCache>
            </c:multiLvlStrRef>
          </c:cat>
          <c:val>
            <c:numRef>
              <c:f>plot!$C$2:$C$17</c:f>
              <c:numCache>
                <c:formatCode>General</c:formatCode>
                <c:ptCount val="16"/>
                <c:pt idx="0">
                  <c:v>28.7</c:v>
                </c:pt>
                <c:pt idx="1">
                  <c:v>24.8</c:v>
                </c:pt>
                <c:pt idx="2">
                  <c:v>24</c:v>
                </c:pt>
                <c:pt idx="3">
                  <c:v>28.8</c:v>
                </c:pt>
                <c:pt idx="4">
                  <c:v>3.8</c:v>
                </c:pt>
                <c:pt idx="5">
                  <c:v>2.2000000000000002</c:v>
                </c:pt>
                <c:pt idx="6">
                  <c:v>2.8</c:v>
                </c:pt>
                <c:pt idx="7">
                  <c:v>2.9</c:v>
                </c:pt>
                <c:pt idx="8">
                  <c:v>1.8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1.3</c:v>
                </c:pt>
                <c:pt idx="13">
                  <c:v>1.2</c:v>
                </c:pt>
                <c:pt idx="14">
                  <c:v>0.4</c:v>
                </c:pt>
                <c:pt idx="1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1-471E-B81E-8E01F44E28BF}"/>
            </c:ext>
          </c:extLst>
        </c:ser>
        <c:ser>
          <c:idx val="1"/>
          <c:order val="1"/>
          <c:tx>
            <c:strRef>
              <c:f>plot!$D$1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plot!$A$2:$B$17</c:f>
              <c:multiLvlStrCache>
                <c:ptCount val="16"/>
                <c:lvl>
                  <c:pt idx="0">
                    <c:v>Train data</c:v>
                  </c:pt>
                  <c:pt idx="1">
                    <c:v>DDPM</c:v>
                  </c:pt>
                  <c:pt idx="2">
                    <c:v>DDGAN</c:v>
                  </c:pt>
                  <c:pt idx="3">
                    <c:v>LDM</c:v>
                  </c:pt>
                  <c:pt idx="4">
                    <c:v>Train data</c:v>
                  </c:pt>
                  <c:pt idx="5">
                    <c:v>DDPM</c:v>
                  </c:pt>
                  <c:pt idx="6">
                    <c:v>DDGAN</c:v>
                  </c:pt>
                  <c:pt idx="7">
                    <c:v>LDM</c:v>
                  </c:pt>
                  <c:pt idx="8">
                    <c:v>Train data</c:v>
                  </c:pt>
                  <c:pt idx="9">
                    <c:v>DDPM</c:v>
                  </c:pt>
                  <c:pt idx="10">
                    <c:v>DDGAN</c:v>
                  </c:pt>
                  <c:pt idx="11">
                    <c:v>LDM</c:v>
                  </c:pt>
                  <c:pt idx="12">
                    <c:v>Train data</c:v>
                  </c:pt>
                  <c:pt idx="13">
                    <c:v>DDPM</c:v>
                  </c:pt>
                  <c:pt idx="14">
                    <c:v>DDGAN</c:v>
                  </c:pt>
                  <c:pt idx="15">
                    <c:v>LDM</c:v>
                  </c:pt>
                </c:lvl>
                <c:lvl>
                  <c:pt idx="0">
                    <c:v>White</c:v>
                  </c:pt>
                  <c:pt idx="4">
                    <c:v>Black</c:v>
                  </c:pt>
                  <c:pt idx="8">
                    <c:v>Indian</c:v>
                  </c:pt>
                  <c:pt idx="12">
                    <c:v>Asian</c:v>
                  </c:pt>
                </c:lvl>
              </c:multiLvlStrCache>
            </c:multiLvlStrRef>
          </c:cat>
          <c:val>
            <c:numRef>
              <c:f>plot!$D$2:$D$17</c:f>
              <c:numCache>
                <c:formatCode>General</c:formatCode>
                <c:ptCount val="16"/>
                <c:pt idx="0">
                  <c:v>55</c:v>
                </c:pt>
                <c:pt idx="1">
                  <c:v>64.400000000000006</c:v>
                </c:pt>
                <c:pt idx="2">
                  <c:v>57.9</c:v>
                </c:pt>
                <c:pt idx="3">
                  <c:v>61.9</c:v>
                </c:pt>
                <c:pt idx="4">
                  <c:v>2.9</c:v>
                </c:pt>
                <c:pt idx="5">
                  <c:v>1.5</c:v>
                </c:pt>
                <c:pt idx="6">
                  <c:v>3.2</c:v>
                </c:pt>
                <c:pt idx="7">
                  <c:v>1.4</c:v>
                </c:pt>
                <c:pt idx="8">
                  <c:v>2.9</c:v>
                </c:pt>
                <c:pt idx="9">
                  <c:v>1.1000000000000001</c:v>
                </c:pt>
                <c:pt idx="10">
                  <c:v>6.1</c:v>
                </c:pt>
                <c:pt idx="11">
                  <c:v>1.1000000000000001</c:v>
                </c:pt>
                <c:pt idx="12">
                  <c:v>3.4</c:v>
                </c:pt>
                <c:pt idx="13">
                  <c:v>3.9</c:v>
                </c:pt>
                <c:pt idx="14">
                  <c:v>1.6</c:v>
                </c:pt>
                <c:pt idx="15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1-471E-B81E-8E01F44E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serLines>
        <c:axId val="1682472591"/>
        <c:axId val="1884283231"/>
      </c:barChart>
      <c:catAx>
        <c:axId val="168247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283231"/>
        <c:crosses val="autoZero"/>
        <c:auto val="1"/>
        <c:lblAlgn val="ctr"/>
        <c:lblOffset val="100"/>
        <c:noMultiLvlLbl val="0"/>
      </c:catAx>
      <c:valAx>
        <c:axId val="188428323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7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plot2!$N$2</c:f>
              <c:strCache>
                <c:ptCount val="1"/>
                <c:pt idx="0">
                  <c:v>Dataset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plot2!$O$1</c:f>
              <c:strCache>
                <c:ptCount val="1"/>
                <c:pt idx="0">
                  <c:v>Std. dev</c:v>
                </c:pt>
              </c:strCache>
            </c:strRef>
          </c:cat>
          <c:val>
            <c:numRef>
              <c:f>plot2!$O$2</c:f>
              <c:numCache>
                <c:formatCode>General</c:formatCode>
                <c:ptCount val="1"/>
                <c:pt idx="0">
                  <c:v>0.18190244638266961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0-4924-958B-DCF28915AC73}"/>
            </c:ext>
          </c:extLst>
        </c:ser>
        <c:ser>
          <c:idx val="1"/>
          <c:order val="1"/>
          <c:tx>
            <c:strRef>
              <c:f>plot2!$N$3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plot2!$O$1</c:f>
              <c:strCache>
                <c:ptCount val="1"/>
                <c:pt idx="0">
                  <c:v>Std. dev</c:v>
                </c:pt>
              </c:strCache>
            </c:strRef>
          </c:cat>
          <c:val>
            <c:numRef>
              <c:f>plot2!$O$3</c:f>
              <c:numCache>
                <c:formatCode>General</c:formatCode>
                <c:ptCount val="1"/>
                <c:pt idx="0">
                  <c:v>0.21023346397517212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0-4924-958B-DCF28915AC73}"/>
            </c:ext>
          </c:extLst>
        </c:ser>
        <c:ser>
          <c:idx val="2"/>
          <c:order val="2"/>
          <c:tx>
            <c:strRef>
              <c:f>plot2!$N$4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plot2!$O$1</c:f>
              <c:strCache>
                <c:ptCount val="1"/>
                <c:pt idx="0">
                  <c:v>Std. dev</c:v>
                </c:pt>
              </c:strCache>
            </c:strRef>
          </c:cat>
          <c:val>
            <c:numRef>
              <c:f>plot2!$O$4</c:f>
              <c:numCache>
                <c:formatCode>General</c:formatCode>
                <c:ptCount val="1"/>
                <c:pt idx="0">
                  <c:v>0.1854865224214417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0-4924-958B-DCF28915AC73}"/>
            </c:ext>
          </c:extLst>
        </c:ser>
        <c:ser>
          <c:idx val="3"/>
          <c:order val="3"/>
          <c:tx>
            <c:strRef>
              <c:f>plot2!$N$5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plot2!$O$1</c:f>
              <c:strCache>
                <c:ptCount val="1"/>
                <c:pt idx="0">
                  <c:v>Std. dev</c:v>
                </c:pt>
              </c:strCache>
            </c:strRef>
          </c:cat>
          <c:val>
            <c:numRef>
              <c:f>plot2!$O$5</c:f>
              <c:numCache>
                <c:formatCode>General</c:formatCode>
                <c:ptCount val="1"/>
                <c:pt idx="0">
                  <c:v>0.20701569988771382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D0-4924-958B-DCF28915A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750128"/>
        <c:axId val="387302432"/>
      </c:barChart>
      <c:catAx>
        <c:axId val="3827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02432"/>
        <c:crosses val="autoZero"/>
        <c:auto val="1"/>
        <c:lblAlgn val="ctr"/>
        <c:lblOffset val="100"/>
        <c:noMultiLvlLbl val="0"/>
      </c:catAx>
      <c:valAx>
        <c:axId val="3873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plot2!$B$3</c:f>
              <c:strCache>
                <c:ptCount val="1"/>
                <c:pt idx="0">
                  <c:v>CelebA-HQ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plot2!$C$1:$J$2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plot2!$C$3:$J$3</c:f>
              <c:numCache>
                <c:formatCode>General</c:formatCode>
                <c:ptCount val="8"/>
                <c:pt idx="0">
                  <c:v>0.55000000000000004</c:v>
                </c:pt>
                <c:pt idx="1">
                  <c:v>0.28699999999999998</c:v>
                </c:pt>
                <c:pt idx="2">
                  <c:v>2.9000000000000001E-2</c:v>
                </c:pt>
                <c:pt idx="3">
                  <c:v>3.7999999999999999E-2</c:v>
                </c:pt>
                <c:pt idx="4">
                  <c:v>2.9000000000000001E-2</c:v>
                </c:pt>
                <c:pt idx="5">
                  <c:v>1.9E-2</c:v>
                </c:pt>
                <c:pt idx="6">
                  <c:v>3.4000000000000002E-2</c:v>
                </c:pt>
                <c:pt idx="7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6-4532-8052-029B7CF8F51B}"/>
            </c:ext>
          </c:extLst>
        </c:ser>
        <c:ser>
          <c:idx val="1"/>
          <c:order val="1"/>
          <c:tx>
            <c:strRef>
              <c:f>plot2!$B$4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plot2!$C$1:$J$2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plot2!$C$4:$J$4</c:f>
              <c:numCache>
                <c:formatCode>General</c:formatCode>
                <c:ptCount val="8"/>
                <c:pt idx="0">
                  <c:v>0.64400000000000002</c:v>
                </c:pt>
                <c:pt idx="1">
                  <c:v>0.248</c:v>
                </c:pt>
                <c:pt idx="2">
                  <c:v>1.4999999999999999E-2</c:v>
                </c:pt>
                <c:pt idx="3">
                  <c:v>2.1999999999999999E-2</c:v>
                </c:pt>
                <c:pt idx="4">
                  <c:v>1.0999999999999999E-2</c:v>
                </c:pt>
                <c:pt idx="5">
                  <c:v>0.01</c:v>
                </c:pt>
                <c:pt idx="6">
                  <c:v>3.9E-2</c:v>
                </c:pt>
                <c:pt idx="7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6-4532-8052-029B7CF8F51B}"/>
            </c:ext>
          </c:extLst>
        </c:ser>
        <c:ser>
          <c:idx val="2"/>
          <c:order val="2"/>
          <c:tx>
            <c:strRef>
              <c:f>plot2!$B$5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plot2!$C$1:$J$2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plot2!$C$5:$J$5</c:f>
              <c:numCache>
                <c:formatCode>General</c:formatCode>
                <c:ptCount val="8"/>
                <c:pt idx="0">
                  <c:v>0.57899999999999996</c:v>
                </c:pt>
                <c:pt idx="1">
                  <c:v>0.24</c:v>
                </c:pt>
                <c:pt idx="2">
                  <c:v>3.2000000000000001E-2</c:v>
                </c:pt>
                <c:pt idx="3">
                  <c:v>2.8000000000000001E-2</c:v>
                </c:pt>
                <c:pt idx="4">
                  <c:v>6.0999999999999999E-2</c:v>
                </c:pt>
                <c:pt idx="5">
                  <c:v>0.04</c:v>
                </c:pt>
                <c:pt idx="6">
                  <c:v>1.6E-2</c:v>
                </c:pt>
                <c:pt idx="7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6-4532-8052-029B7CF8F51B}"/>
            </c:ext>
          </c:extLst>
        </c:ser>
        <c:ser>
          <c:idx val="3"/>
          <c:order val="3"/>
          <c:tx>
            <c:strRef>
              <c:f>plot2!$B$6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plot2!$C$1:$J$2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plot2!$C$6:$J$6</c:f>
              <c:numCache>
                <c:formatCode>General</c:formatCode>
                <c:ptCount val="8"/>
                <c:pt idx="0">
                  <c:v>0.61899999999999999</c:v>
                </c:pt>
                <c:pt idx="1">
                  <c:v>0.28799999999999998</c:v>
                </c:pt>
                <c:pt idx="2">
                  <c:v>1.4E-2</c:v>
                </c:pt>
                <c:pt idx="3">
                  <c:v>2.9000000000000001E-2</c:v>
                </c:pt>
                <c:pt idx="4">
                  <c:v>1.0999999999999999E-2</c:v>
                </c:pt>
                <c:pt idx="5">
                  <c:v>0.01</c:v>
                </c:pt>
                <c:pt idx="6">
                  <c:v>0.02</c:v>
                </c:pt>
                <c:pt idx="7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86-4532-8052-029B7CF8F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894752"/>
        <c:axId val="387308880"/>
      </c:barChart>
      <c:catAx>
        <c:axId val="44089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08880"/>
        <c:crosses val="autoZero"/>
        <c:auto val="1"/>
        <c:lblAlgn val="ctr"/>
        <c:lblOffset val="100"/>
        <c:noMultiLvlLbl val="0"/>
      </c:catAx>
      <c:valAx>
        <c:axId val="3873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9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plot2!$B$10</c:f>
              <c:strCache>
                <c:ptCount val="1"/>
                <c:pt idx="0">
                  <c:v>FairFace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plot2!$C$8:$J$9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plot2!$C$10:$J$10</c:f>
              <c:numCache>
                <c:formatCode>General</c:formatCode>
                <c:ptCount val="8"/>
                <c:pt idx="0">
                  <c:v>0.15</c:v>
                </c:pt>
                <c:pt idx="1">
                  <c:v>0.189</c:v>
                </c:pt>
                <c:pt idx="2">
                  <c:v>7.5999999999999998E-2</c:v>
                </c:pt>
                <c:pt idx="3">
                  <c:v>7.4999999999999997E-2</c:v>
                </c:pt>
                <c:pt idx="4">
                  <c:v>0.09</c:v>
                </c:pt>
                <c:pt idx="5">
                  <c:v>0.113</c:v>
                </c:pt>
                <c:pt idx="6">
                  <c:v>0.14899999999999999</c:v>
                </c:pt>
                <c:pt idx="7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D-4449-9016-83A445B7F5FA}"/>
            </c:ext>
          </c:extLst>
        </c:ser>
        <c:ser>
          <c:idx val="1"/>
          <c:order val="1"/>
          <c:tx>
            <c:strRef>
              <c:f>plot2!$B$11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plot2!$C$8:$J$9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plot2!$C$11:$J$11</c:f>
              <c:numCache>
                <c:formatCode>General</c:formatCode>
                <c:ptCount val="8"/>
                <c:pt idx="0">
                  <c:v>0.29099999999999998</c:v>
                </c:pt>
                <c:pt idx="1">
                  <c:v>0.216</c:v>
                </c:pt>
                <c:pt idx="2">
                  <c:v>4.8000000000000001E-2</c:v>
                </c:pt>
                <c:pt idx="3">
                  <c:v>2.5999999999999999E-2</c:v>
                </c:pt>
                <c:pt idx="4">
                  <c:v>4.7E-2</c:v>
                </c:pt>
                <c:pt idx="5">
                  <c:v>3.9E-2</c:v>
                </c:pt>
                <c:pt idx="6">
                  <c:v>0.19700000000000001</c:v>
                </c:pt>
                <c:pt idx="7">
                  <c:v>0.13600000000000001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D-4449-9016-83A445B7F5FA}"/>
            </c:ext>
          </c:extLst>
        </c:ser>
        <c:ser>
          <c:idx val="2"/>
          <c:order val="2"/>
          <c:tx>
            <c:strRef>
              <c:f>plot2!$B$12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plot2!$C$8:$J$9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plot2!$C$12:$J$12</c:f>
              <c:numCache>
                <c:formatCode>General</c:formatCode>
                <c:ptCount val="8"/>
                <c:pt idx="0">
                  <c:v>0.124</c:v>
                </c:pt>
                <c:pt idx="1">
                  <c:v>0.112</c:v>
                </c:pt>
                <c:pt idx="2">
                  <c:v>7.8E-2</c:v>
                </c:pt>
                <c:pt idx="3">
                  <c:v>5.5E-2</c:v>
                </c:pt>
                <c:pt idx="4">
                  <c:v>0.22500000000000001</c:v>
                </c:pt>
                <c:pt idx="5">
                  <c:v>0.21099999999999999</c:v>
                </c:pt>
                <c:pt idx="6">
                  <c:v>0.13</c:v>
                </c:pt>
                <c:pt idx="7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DD-4449-9016-83A445B7F5FA}"/>
            </c:ext>
          </c:extLst>
        </c:ser>
        <c:ser>
          <c:idx val="3"/>
          <c:order val="3"/>
          <c:tx>
            <c:strRef>
              <c:f>plot2!$B$13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plot2!$C$8:$J$9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plot2!$C$13:$J$13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DD-4449-9016-83A445B7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565232"/>
        <c:axId val="746460240"/>
      </c:barChart>
      <c:catAx>
        <c:axId val="74156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60240"/>
        <c:crosses val="autoZero"/>
        <c:auto val="1"/>
        <c:lblAlgn val="ctr"/>
        <c:lblOffset val="100"/>
        <c:noMultiLvlLbl val="0"/>
      </c:catAx>
      <c:valAx>
        <c:axId val="7464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plot2!$B$17</c:f>
              <c:strCache>
                <c:ptCount val="1"/>
                <c:pt idx="0">
                  <c:v>Bal-FairFace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plot2!$C$15:$J$16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plot2!$C$17:$J$17</c:f>
              <c:numCache>
                <c:formatCode>General</c:formatCode>
                <c:ptCount val="8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A-4A52-ADC7-AE39796291E8}"/>
            </c:ext>
          </c:extLst>
        </c:ser>
        <c:ser>
          <c:idx val="1"/>
          <c:order val="1"/>
          <c:tx>
            <c:strRef>
              <c:f>plot2!$B$18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plot2!$C$15:$J$16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plot2!$C$18:$J$18</c:f>
              <c:numCache>
                <c:formatCode>General</c:formatCode>
                <c:ptCount val="8"/>
                <c:pt idx="0">
                  <c:v>0.249</c:v>
                </c:pt>
                <c:pt idx="1">
                  <c:v>0.17299999999999999</c:v>
                </c:pt>
                <c:pt idx="2">
                  <c:v>8.4000000000000005E-2</c:v>
                </c:pt>
                <c:pt idx="3">
                  <c:v>7.8E-2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0.14699999999999999</c:v>
                </c:pt>
                <c:pt idx="7">
                  <c:v>0.11799999999999999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A-4A52-ADC7-AE39796291E8}"/>
            </c:ext>
          </c:extLst>
        </c:ser>
        <c:ser>
          <c:idx val="2"/>
          <c:order val="2"/>
          <c:tx>
            <c:strRef>
              <c:f>plot2!$B$19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plot2!$C$15:$J$16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plot2!$C$19:$J$19</c:f>
              <c:numCache>
                <c:formatCode>General</c:formatCode>
                <c:ptCount val="8"/>
                <c:pt idx="0">
                  <c:v>0.11899999999999999</c:v>
                </c:pt>
                <c:pt idx="1">
                  <c:v>0.1</c:v>
                </c:pt>
                <c:pt idx="2">
                  <c:v>0.11600000000000001</c:v>
                </c:pt>
                <c:pt idx="3">
                  <c:v>7.4999999999999997E-2</c:v>
                </c:pt>
                <c:pt idx="4">
                  <c:v>0.193</c:v>
                </c:pt>
                <c:pt idx="5">
                  <c:v>0.153</c:v>
                </c:pt>
                <c:pt idx="6">
                  <c:v>0.14399999999999999</c:v>
                </c:pt>
                <c:pt idx="7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9A-4A52-ADC7-AE39796291E8}"/>
            </c:ext>
          </c:extLst>
        </c:ser>
        <c:ser>
          <c:idx val="3"/>
          <c:order val="3"/>
          <c:tx>
            <c:strRef>
              <c:f>plot2!$B$20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plot2!$C$15:$J$16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White</c:v>
                  </c:pt>
                  <c:pt idx="2">
                    <c:v>Black</c:v>
                  </c:pt>
                  <c:pt idx="4">
                    <c:v>Indian</c:v>
                  </c:pt>
                  <c:pt idx="6">
                    <c:v>Asian</c:v>
                  </c:pt>
                </c:lvl>
              </c:multiLvlStrCache>
            </c:multiLvlStrRef>
          </c:cat>
          <c:val>
            <c:numRef>
              <c:f>plot2!$C$20:$J$20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9A-4A52-ADC7-AE3979629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555152"/>
        <c:axId val="746457264"/>
      </c:barChart>
      <c:catAx>
        <c:axId val="7415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7264"/>
        <c:crosses val="autoZero"/>
        <c:auto val="1"/>
        <c:lblAlgn val="ctr"/>
        <c:lblOffset val="100"/>
        <c:noMultiLvlLbl val="0"/>
      </c:catAx>
      <c:valAx>
        <c:axId val="7464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168274</xdr:colOff>
      <xdr:row>1</xdr:row>
      <xdr:rowOff>0</xdr:rowOff>
    </xdr:from>
    <xdr:to>
      <xdr:col>15</xdr:col>
      <xdr:colOff>361949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4BF6A-33A1-C033-9A5E-8E3CAD69D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334530</xdr:colOff>
      <xdr:row>0</xdr:row>
      <xdr:rowOff>53109</xdr:rowOff>
    </xdr:from>
    <xdr:to>
      <xdr:col>23</xdr:col>
      <xdr:colOff>29730</xdr:colOff>
      <xdr:row>18</xdr:row>
      <xdr:rowOff>34059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7CA70B-D345-A0E2-C93B-3CDD9F2E4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80818</xdr:rowOff>
    </xdr:from>
    <xdr:to>
      <xdr:col>8</xdr:col>
      <xdr:colOff>408709</xdr:colOff>
      <xdr:row>38</xdr:row>
      <xdr:rowOff>61191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6E572-86AC-068F-95CA-DE2F2FB93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151535</xdr:colOff>
      <xdr:row>22</xdr:row>
      <xdr:rowOff>44450</xdr:rowOff>
    </xdr:from>
    <xdr:to>
      <xdr:col>17</xdr:col>
      <xdr:colOff>98426</xdr:colOff>
      <xdr:row>37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177F35-11EC-DE8F-BF4C-0B949FD33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294120</xdr:colOff>
      <xdr:row>22</xdr:row>
      <xdr:rowOff>53686</xdr:rowOff>
    </xdr:from>
    <xdr:to>
      <xdr:col>24</xdr:col>
      <xdr:colOff>598921</xdr:colOff>
      <xdr:row>37</xdr:row>
      <xdr:rowOff>34636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9A7337-DAF0-EEF4-03A0-CB809C318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ir Parida" refreshedDate="45335.832694328703" createdVersion="8" refreshedVersion="8" minRefreshableVersion="3" recordCount="33" xr:uid="{7D6D7B62-4A4E-4136-9427-695A2DCC5584}">
  <cacheSource type="worksheet">
    <worksheetSource ref="A1:D1048576" sheet="CelebA-HQ"/>
  </cacheSource>
  <cacheFields count="4">
    <cacheField name="Dataset" numFmtId="0">
      <sharedItems containsBlank="1" count="5">
        <s v="Train data"/>
        <s v="DDPM"/>
        <s v="DDGAN"/>
        <s v="LDM"/>
        <m/>
      </sharedItems>
    </cacheField>
    <cacheField name="Race" numFmtId="0">
      <sharedItems containsBlank="1" count="5">
        <s v="White"/>
        <s v="Asian"/>
        <s v="Black"/>
        <s v="Indian"/>
        <m/>
      </sharedItems>
    </cacheField>
    <cacheField name="Gender" numFmtId="0">
      <sharedItems containsBlank="1" count="3">
        <s v="Male"/>
        <s v="Female"/>
        <m/>
      </sharedItems>
    </cacheField>
    <cacheField name="generation in percentage" numFmtId="0">
      <sharedItems containsString="0" containsBlank="1" containsNumber="1" containsInteger="1" minValue="2" maxValue="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10"/>
  </r>
  <r>
    <x v="0"/>
    <x v="1"/>
    <x v="0"/>
    <n v="20"/>
  </r>
  <r>
    <x v="0"/>
    <x v="2"/>
    <x v="0"/>
    <n v="30"/>
  </r>
  <r>
    <x v="0"/>
    <x v="3"/>
    <x v="0"/>
    <n v="40"/>
  </r>
  <r>
    <x v="0"/>
    <x v="0"/>
    <x v="1"/>
    <n v="5"/>
  </r>
  <r>
    <x v="0"/>
    <x v="1"/>
    <x v="1"/>
    <n v="15"/>
  </r>
  <r>
    <x v="0"/>
    <x v="2"/>
    <x v="1"/>
    <n v="25"/>
  </r>
  <r>
    <x v="0"/>
    <x v="3"/>
    <x v="1"/>
    <n v="35"/>
  </r>
  <r>
    <x v="1"/>
    <x v="0"/>
    <x v="0"/>
    <n v="89"/>
  </r>
  <r>
    <x v="1"/>
    <x v="1"/>
    <x v="0"/>
    <n v="5"/>
  </r>
  <r>
    <x v="1"/>
    <x v="2"/>
    <x v="0"/>
    <n v="4"/>
  </r>
  <r>
    <x v="1"/>
    <x v="3"/>
    <x v="0"/>
    <n v="2"/>
  </r>
  <r>
    <x v="1"/>
    <x v="0"/>
    <x v="1"/>
    <n v="89"/>
  </r>
  <r>
    <x v="1"/>
    <x v="1"/>
    <x v="1"/>
    <n v="5"/>
  </r>
  <r>
    <x v="1"/>
    <x v="2"/>
    <x v="1"/>
    <n v="4"/>
  </r>
  <r>
    <x v="1"/>
    <x v="3"/>
    <x v="1"/>
    <n v="2"/>
  </r>
  <r>
    <x v="2"/>
    <x v="0"/>
    <x v="0"/>
    <n v="82"/>
  </r>
  <r>
    <x v="2"/>
    <x v="1"/>
    <x v="0"/>
    <n v="2"/>
  </r>
  <r>
    <x v="2"/>
    <x v="2"/>
    <x v="0"/>
    <n v="6"/>
  </r>
  <r>
    <x v="2"/>
    <x v="3"/>
    <x v="0"/>
    <n v="10"/>
  </r>
  <r>
    <x v="2"/>
    <x v="0"/>
    <x v="1"/>
    <n v="82"/>
  </r>
  <r>
    <x v="2"/>
    <x v="1"/>
    <x v="1"/>
    <n v="2"/>
  </r>
  <r>
    <x v="2"/>
    <x v="2"/>
    <x v="1"/>
    <n v="6"/>
  </r>
  <r>
    <x v="2"/>
    <x v="3"/>
    <x v="1"/>
    <n v="10"/>
  </r>
  <r>
    <x v="3"/>
    <x v="0"/>
    <x v="0"/>
    <n v="91"/>
  </r>
  <r>
    <x v="3"/>
    <x v="1"/>
    <x v="0"/>
    <n v="3"/>
  </r>
  <r>
    <x v="3"/>
    <x v="2"/>
    <x v="0"/>
    <n v="4"/>
  </r>
  <r>
    <x v="3"/>
    <x v="3"/>
    <x v="0"/>
    <n v="2"/>
  </r>
  <r>
    <x v="3"/>
    <x v="0"/>
    <x v="1"/>
    <n v="91"/>
  </r>
  <r>
    <x v="3"/>
    <x v="1"/>
    <x v="1"/>
    <n v="3"/>
  </r>
  <r>
    <x v="3"/>
    <x v="2"/>
    <x v="1"/>
    <n v="4"/>
  </r>
  <r>
    <x v="3"/>
    <x v="3"/>
    <x v="1"/>
    <n v="2"/>
  </r>
  <r>
    <x v="4"/>
    <x v="4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C171A-9B06-4D87-8649-64E15081FE8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" firstHeaderRow="1" firstDataRow="1" firstDataCol="1"/>
  <pivotFields count="4">
    <pivotField axis="axisRow" showAll="0">
      <items count="6">
        <item x="2"/>
        <item x="1"/>
        <item x="3"/>
        <item x="0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3">
    <field x="1"/>
    <field x="0"/>
    <field x="2"/>
  </rowFields>
  <rowItems count="56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4"/>
    </i>
    <i r="1">
      <x v="4"/>
    </i>
    <i r="2">
      <x v="2"/>
    </i>
    <i t="grand">
      <x/>
    </i>
  </rowItems>
  <colItems count="1">
    <i/>
  </colItems>
  <dataFields count="1">
    <dataField name="Sum of generation in percentag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3858-CF72-4EA1-B8C1-AAAC93893DFE}">
  <dimension ref="A3:B59"/>
  <sheetViews>
    <sheetView tabSelected="1" workbookViewId="0">
      <selection activeCell="G17" sqref="G17"/>
    </sheetView>
  </sheetViews>
  <sheetFormatPr defaultRowHeight="14.5" x14ac:dyDescent="0.35"/>
  <cols>
    <col min="1" max="1" width="13.1796875" bestFit="1" customWidth="1"/>
    <col min="2" max="2" width="28.36328125" bestFit="1" customWidth="1"/>
  </cols>
  <sheetData>
    <row r="3" spans="1:2" x14ac:dyDescent="0.35">
      <c r="A3" s="1" t="s">
        <v>14</v>
      </c>
      <c r="B3" t="s">
        <v>17</v>
      </c>
    </row>
    <row r="4" spans="1:2" x14ac:dyDescent="0.35">
      <c r="A4" s="2" t="s">
        <v>5</v>
      </c>
      <c r="B4">
        <v>55</v>
      </c>
    </row>
    <row r="5" spans="1:2" x14ac:dyDescent="0.35">
      <c r="A5" s="3" t="s">
        <v>9</v>
      </c>
      <c r="B5">
        <v>4</v>
      </c>
    </row>
    <row r="6" spans="1:2" x14ac:dyDescent="0.35">
      <c r="A6" s="4" t="s">
        <v>13</v>
      </c>
      <c r="B6">
        <v>2</v>
      </c>
    </row>
    <row r="7" spans="1:2" x14ac:dyDescent="0.35">
      <c r="A7" s="4" t="s">
        <v>12</v>
      </c>
      <c r="B7">
        <v>2</v>
      </c>
    </row>
    <row r="8" spans="1:2" x14ac:dyDescent="0.35">
      <c r="A8" s="3" t="s">
        <v>8</v>
      </c>
      <c r="B8">
        <v>10</v>
      </c>
    </row>
    <row r="9" spans="1:2" x14ac:dyDescent="0.35">
      <c r="A9" s="4" t="s">
        <v>13</v>
      </c>
      <c r="B9">
        <v>5</v>
      </c>
    </row>
    <row r="10" spans="1:2" x14ac:dyDescent="0.35">
      <c r="A10" s="4" t="s">
        <v>12</v>
      </c>
      <c r="B10">
        <v>5</v>
      </c>
    </row>
    <row r="11" spans="1:2" x14ac:dyDescent="0.35">
      <c r="A11" s="3" t="s">
        <v>10</v>
      </c>
      <c r="B11">
        <v>6</v>
      </c>
    </row>
    <row r="12" spans="1:2" x14ac:dyDescent="0.35">
      <c r="A12" s="4" t="s">
        <v>13</v>
      </c>
      <c r="B12">
        <v>3</v>
      </c>
    </row>
    <row r="13" spans="1:2" x14ac:dyDescent="0.35">
      <c r="A13" s="4" t="s">
        <v>12</v>
      </c>
      <c r="B13">
        <v>3</v>
      </c>
    </row>
    <row r="14" spans="1:2" x14ac:dyDescent="0.35">
      <c r="A14" s="3" t="s">
        <v>3</v>
      </c>
      <c r="B14">
        <v>35</v>
      </c>
    </row>
    <row r="15" spans="1:2" x14ac:dyDescent="0.35">
      <c r="A15" s="4" t="s">
        <v>13</v>
      </c>
      <c r="B15">
        <v>15</v>
      </c>
    </row>
    <row r="16" spans="1:2" x14ac:dyDescent="0.35">
      <c r="A16" s="4" t="s">
        <v>12</v>
      </c>
      <c r="B16">
        <v>20</v>
      </c>
    </row>
    <row r="17" spans="1:2" x14ac:dyDescent="0.35">
      <c r="A17" s="2" t="s">
        <v>6</v>
      </c>
      <c r="B17">
        <v>83</v>
      </c>
    </row>
    <row r="18" spans="1:2" x14ac:dyDescent="0.35">
      <c r="A18" s="3" t="s">
        <v>9</v>
      </c>
      <c r="B18">
        <v>12</v>
      </c>
    </row>
    <row r="19" spans="1:2" x14ac:dyDescent="0.35">
      <c r="A19" s="4" t="s">
        <v>13</v>
      </c>
      <c r="B19">
        <v>6</v>
      </c>
    </row>
    <row r="20" spans="1:2" x14ac:dyDescent="0.35">
      <c r="A20" s="4" t="s">
        <v>12</v>
      </c>
      <c r="B20">
        <v>6</v>
      </c>
    </row>
    <row r="21" spans="1:2" x14ac:dyDescent="0.35">
      <c r="A21" s="3" t="s">
        <v>8</v>
      </c>
      <c r="B21">
        <v>8</v>
      </c>
    </row>
    <row r="22" spans="1:2" x14ac:dyDescent="0.35">
      <c r="A22" s="4" t="s">
        <v>13</v>
      </c>
      <c r="B22">
        <v>4</v>
      </c>
    </row>
    <row r="23" spans="1:2" x14ac:dyDescent="0.35">
      <c r="A23" s="4" t="s">
        <v>12</v>
      </c>
      <c r="B23">
        <v>4</v>
      </c>
    </row>
    <row r="24" spans="1:2" x14ac:dyDescent="0.35">
      <c r="A24" s="3" t="s">
        <v>10</v>
      </c>
      <c r="B24">
        <v>8</v>
      </c>
    </row>
    <row r="25" spans="1:2" x14ac:dyDescent="0.35">
      <c r="A25" s="4" t="s">
        <v>13</v>
      </c>
      <c r="B25">
        <v>4</v>
      </c>
    </row>
    <row r="26" spans="1:2" x14ac:dyDescent="0.35">
      <c r="A26" s="4" t="s">
        <v>12</v>
      </c>
      <c r="B26">
        <v>4</v>
      </c>
    </row>
    <row r="27" spans="1:2" x14ac:dyDescent="0.35">
      <c r="A27" s="3" t="s">
        <v>3</v>
      </c>
      <c r="B27">
        <v>55</v>
      </c>
    </row>
    <row r="28" spans="1:2" x14ac:dyDescent="0.35">
      <c r="A28" s="4" t="s">
        <v>13</v>
      </c>
      <c r="B28">
        <v>25</v>
      </c>
    </row>
    <row r="29" spans="1:2" x14ac:dyDescent="0.35">
      <c r="A29" s="4" t="s">
        <v>12</v>
      </c>
      <c r="B29">
        <v>30</v>
      </c>
    </row>
    <row r="30" spans="1:2" x14ac:dyDescent="0.35">
      <c r="A30" s="2" t="s">
        <v>7</v>
      </c>
      <c r="B30">
        <v>103</v>
      </c>
    </row>
    <row r="31" spans="1:2" x14ac:dyDescent="0.35">
      <c r="A31" s="3" t="s">
        <v>9</v>
      </c>
      <c r="B31">
        <v>20</v>
      </c>
    </row>
    <row r="32" spans="1:2" x14ac:dyDescent="0.35">
      <c r="A32" s="4" t="s">
        <v>13</v>
      </c>
      <c r="B32">
        <v>10</v>
      </c>
    </row>
    <row r="33" spans="1:2" x14ac:dyDescent="0.35">
      <c r="A33" s="4" t="s">
        <v>12</v>
      </c>
      <c r="B33">
        <v>10</v>
      </c>
    </row>
    <row r="34" spans="1:2" x14ac:dyDescent="0.35">
      <c r="A34" s="3" t="s">
        <v>8</v>
      </c>
      <c r="B34">
        <v>4</v>
      </c>
    </row>
    <row r="35" spans="1:2" x14ac:dyDescent="0.35">
      <c r="A35" s="4" t="s">
        <v>13</v>
      </c>
      <c r="B35">
        <v>2</v>
      </c>
    </row>
    <row r="36" spans="1:2" x14ac:dyDescent="0.35">
      <c r="A36" s="4" t="s">
        <v>12</v>
      </c>
      <c r="B36">
        <v>2</v>
      </c>
    </row>
    <row r="37" spans="1:2" x14ac:dyDescent="0.35">
      <c r="A37" s="3" t="s">
        <v>10</v>
      </c>
      <c r="B37">
        <v>4</v>
      </c>
    </row>
    <row r="38" spans="1:2" x14ac:dyDescent="0.35">
      <c r="A38" s="4" t="s">
        <v>13</v>
      </c>
      <c r="B38">
        <v>2</v>
      </c>
    </row>
    <row r="39" spans="1:2" x14ac:dyDescent="0.35">
      <c r="A39" s="4" t="s">
        <v>12</v>
      </c>
      <c r="B39">
        <v>2</v>
      </c>
    </row>
    <row r="40" spans="1:2" x14ac:dyDescent="0.35">
      <c r="A40" s="3" t="s">
        <v>3</v>
      </c>
      <c r="B40">
        <v>75</v>
      </c>
    </row>
    <row r="41" spans="1:2" x14ac:dyDescent="0.35">
      <c r="A41" s="4" t="s">
        <v>13</v>
      </c>
      <c r="B41">
        <v>35</v>
      </c>
    </row>
    <row r="42" spans="1:2" x14ac:dyDescent="0.35">
      <c r="A42" s="4" t="s">
        <v>12</v>
      </c>
      <c r="B42">
        <v>40</v>
      </c>
    </row>
    <row r="43" spans="1:2" x14ac:dyDescent="0.35">
      <c r="A43" s="2" t="s">
        <v>4</v>
      </c>
      <c r="B43">
        <v>539</v>
      </c>
    </row>
    <row r="44" spans="1:2" x14ac:dyDescent="0.35">
      <c r="A44" s="3" t="s">
        <v>9</v>
      </c>
      <c r="B44">
        <v>164</v>
      </c>
    </row>
    <row r="45" spans="1:2" x14ac:dyDescent="0.35">
      <c r="A45" s="4" t="s">
        <v>13</v>
      </c>
      <c r="B45">
        <v>82</v>
      </c>
    </row>
    <row r="46" spans="1:2" x14ac:dyDescent="0.35">
      <c r="A46" s="4" t="s">
        <v>12</v>
      </c>
      <c r="B46">
        <v>82</v>
      </c>
    </row>
    <row r="47" spans="1:2" x14ac:dyDescent="0.35">
      <c r="A47" s="3" t="s">
        <v>8</v>
      </c>
      <c r="B47">
        <v>178</v>
      </c>
    </row>
    <row r="48" spans="1:2" x14ac:dyDescent="0.35">
      <c r="A48" s="4" t="s">
        <v>13</v>
      </c>
      <c r="B48">
        <v>89</v>
      </c>
    </row>
    <row r="49" spans="1:2" x14ac:dyDescent="0.35">
      <c r="A49" s="4" t="s">
        <v>12</v>
      </c>
      <c r="B49">
        <v>89</v>
      </c>
    </row>
    <row r="50" spans="1:2" x14ac:dyDescent="0.35">
      <c r="A50" s="3" t="s">
        <v>10</v>
      </c>
      <c r="B50">
        <v>182</v>
      </c>
    </row>
    <row r="51" spans="1:2" x14ac:dyDescent="0.35">
      <c r="A51" s="4" t="s">
        <v>13</v>
      </c>
      <c r="B51">
        <v>91</v>
      </c>
    </row>
    <row r="52" spans="1:2" x14ac:dyDescent="0.35">
      <c r="A52" s="4" t="s">
        <v>12</v>
      </c>
      <c r="B52">
        <v>91</v>
      </c>
    </row>
    <row r="53" spans="1:2" x14ac:dyDescent="0.35">
      <c r="A53" s="3" t="s">
        <v>3</v>
      </c>
      <c r="B53">
        <v>15</v>
      </c>
    </row>
    <row r="54" spans="1:2" x14ac:dyDescent="0.35">
      <c r="A54" s="4" t="s">
        <v>13</v>
      </c>
      <c r="B54">
        <v>5</v>
      </c>
    </row>
    <row r="55" spans="1:2" x14ac:dyDescent="0.35">
      <c r="A55" s="4" t="s">
        <v>12</v>
      </c>
      <c r="B55">
        <v>10</v>
      </c>
    </row>
    <row r="56" spans="1:2" x14ac:dyDescent="0.35">
      <c r="A56" s="2" t="s">
        <v>15</v>
      </c>
    </row>
    <row r="57" spans="1:2" x14ac:dyDescent="0.35">
      <c r="A57" s="3" t="s">
        <v>15</v>
      </c>
    </row>
    <row r="58" spans="1:2" x14ac:dyDescent="0.35">
      <c r="A58" s="4" t="s">
        <v>15</v>
      </c>
    </row>
    <row r="59" spans="1:2" x14ac:dyDescent="0.35">
      <c r="A59" s="2" t="s">
        <v>16</v>
      </c>
      <c r="B59"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F2F6-9AFE-4AA9-9393-CC534CFA53F7}">
  <dimension ref="A1:D33"/>
  <sheetViews>
    <sheetView workbookViewId="0">
      <selection activeCell="L12" sqref="L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11</v>
      </c>
      <c r="D1" t="s">
        <v>2</v>
      </c>
    </row>
    <row r="2" spans="1:4" x14ac:dyDescent="0.35">
      <c r="A2" t="s">
        <v>3</v>
      </c>
      <c r="B2" t="s">
        <v>4</v>
      </c>
      <c r="C2" t="s">
        <v>12</v>
      </c>
      <c r="D2">
        <v>28.7</v>
      </c>
    </row>
    <row r="3" spans="1:4" x14ac:dyDescent="0.35">
      <c r="A3" t="s">
        <v>3</v>
      </c>
      <c r="B3" t="s">
        <v>5</v>
      </c>
      <c r="C3" t="s">
        <v>12</v>
      </c>
      <c r="D3">
        <v>1.3</v>
      </c>
    </row>
    <row r="4" spans="1:4" x14ac:dyDescent="0.35">
      <c r="A4" t="s">
        <v>3</v>
      </c>
      <c r="B4" t="s">
        <v>6</v>
      </c>
      <c r="C4" t="s">
        <v>12</v>
      </c>
      <c r="D4">
        <v>3.8</v>
      </c>
    </row>
    <row r="5" spans="1:4" x14ac:dyDescent="0.35">
      <c r="A5" t="s">
        <v>3</v>
      </c>
      <c r="B5" t="s">
        <v>7</v>
      </c>
      <c r="C5" t="s">
        <v>12</v>
      </c>
      <c r="D5">
        <v>1.8</v>
      </c>
    </row>
    <row r="6" spans="1:4" x14ac:dyDescent="0.35">
      <c r="A6" t="s">
        <v>3</v>
      </c>
      <c r="B6" t="s">
        <v>4</v>
      </c>
      <c r="C6" t="s">
        <v>13</v>
      </c>
      <c r="D6">
        <v>55</v>
      </c>
    </row>
    <row r="7" spans="1:4" x14ac:dyDescent="0.35">
      <c r="A7" t="s">
        <v>3</v>
      </c>
      <c r="B7" t="s">
        <v>5</v>
      </c>
      <c r="C7" t="s">
        <v>13</v>
      </c>
      <c r="D7">
        <v>3.4</v>
      </c>
    </row>
    <row r="8" spans="1:4" x14ac:dyDescent="0.35">
      <c r="A8" t="s">
        <v>3</v>
      </c>
      <c r="B8" t="s">
        <v>6</v>
      </c>
      <c r="C8" t="s">
        <v>13</v>
      </c>
      <c r="D8">
        <v>2.9</v>
      </c>
    </row>
    <row r="9" spans="1:4" x14ac:dyDescent="0.35">
      <c r="A9" t="s">
        <v>3</v>
      </c>
      <c r="B9" t="s">
        <v>7</v>
      </c>
      <c r="C9" t="s">
        <v>13</v>
      </c>
      <c r="D9">
        <v>2.9</v>
      </c>
    </row>
    <row r="10" spans="1:4" x14ac:dyDescent="0.35">
      <c r="A10" t="s">
        <v>8</v>
      </c>
      <c r="B10" t="s">
        <v>4</v>
      </c>
      <c r="C10" t="s">
        <v>12</v>
      </c>
      <c r="D10">
        <v>24.8</v>
      </c>
    </row>
    <row r="11" spans="1:4" x14ac:dyDescent="0.35">
      <c r="A11" t="s">
        <v>8</v>
      </c>
      <c r="B11" t="s">
        <v>5</v>
      </c>
      <c r="C11" t="s">
        <v>12</v>
      </c>
      <c r="D11">
        <v>1.2</v>
      </c>
    </row>
    <row r="12" spans="1:4" x14ac:dyDescent="0.35">
      <c r="A12" t="s">
        <v>8</v>
      </c>
      <c r="B12" t="s">
        <v>6</v>
      </c>
      <c r="C12" t="s">
        <v>12</v>
      </c>
      <c r="D12">
        <v>2.2000000000000002</v>
      </c>
    </row>
    <row r="13" spans="1:4" x14ac:dyDescent="0.35">
      <c r="A13" t="s">
        <v>8</v>
      </c>
      <c r="B13" t="s">
        <v>7</v>
      </c>
      <c r="C13" t="s">
        <v>12</v>
      </c>
      <c r="D13">
        <v>1</v>
      </c>
    </row>
    <row r="14" spans="1:4" x14ac:dyDescent="0.35">
      <c r="A14" t="s">
        <v>8</v>
      </c>
      <c r="B14" t="s">
        <v>4</v>
      </c>
      <c r="C14" t="s">
        <v>13</v>
      </c>
      <c r="D14">
        <v>64.400000000000006</v>
      </c>
    </row>
    <row r="15" spans="1:4" x14ac:dyDescent="0.35">
      <c r="A15" t="s">
        <v>8</v>
      </c>
      <c r="B15" t="s">
        <v>5</v>
      </c>
      <c r="C15" t="s">
        <v>13</v>
      </c>
      <c r="D15">
        <v>3.9</v>
      </c>
    </row>
    <row r="16" spans="1:4" x14ac:dyDescent="0.35">
      <c r="A16" t="s">
        <v>8</v>
      </c>
      <c r="B16" t="s">
        <v>6</v>
      </c>
      <c r="C16" t="s">
        <v>13</v>
      </c>
      <c r="D16">
        <v>1.5</v>
      </c>
    </row>
    <row r="17" spans="1:4" x14ac:dyDescent="0.35">
      <c r="A17" t="s">
        <v>8</v>
      </c>
      <c r="B17" t="s">
        <v>7</v>
      </c>
      <c r="C17" t="s">
        <v>13</v>
      </c>
      <c r="D17">
        <v>1.1000000000000001</v>
      </c>
    </row>
    <row r="18" spans="1:4" x14ac:dyDescent="0.35">
      <c r="A18" t="s">
        <v>9</v>
      </c>
      <c r="B18" t="s">
        <v>4</v>
      </c>
      <c r="C18" t="s">
        <v>12</v>
      </c>
      <c r="D18">
        <v>24</v>
      </c>
    </row>
    <row r="19" spans="1:4" x14ac:dyDescent="0.35">
      <c r="A19" t="s">
        <v>9</v>
      </c>
      <c r="B19" t="s">
        <v>5</v>
      </c>
      <c r="C19" t="s">
        <v>12</v>
      </c>
      <c r="D19">
        <v>0.4</v>
      </c>
    </row>
    <row r="20" spans="1:4" x14ac:dyDescent="0.35">
      <c r="A20" t="s">
        <v>9</v>
      </c>
      <c r="B20" t="s">
        <v>6</v>
      </c>
      <c r="C20" t="s">
        <v>12</v>
      </c>
      <c r="D20">
        <v>2.8</v>
      </c>
    </row>
    <row r="21" spans="1:4" x14ac:dyDescent="0.35">
      <c r="A21" t="s">
        <v>9</v>
      </c>
      <c r="B21" t="s">
        <v>7</v>
      </c>
      <c r="C21" t="s">
        <v>12</v>
      </c>
      <c r="D21">
        <v>4</v>
      </c>
    </row>
    <row r="22" spans="1:4" x14ac:dyDescent="0.35">
      <c r="A22" t="s">
        <v>9</v>
      </c>
      <c r="B22" t="s">
        <v>4</v>
      </c>
      <c r="C22" t="s">
        <v>13</v>
      </c>
      <c r="D22">
        <v>57.9</v>
      </c>
    </row>
    <row r="23" spans="1:4" x14ac:dyDescent="0.35">
      <c r="A23" t="s">
        <v>9</v>
      </c>
      <c r="B23" t="s">
        <v>5</v>
      </c>
      <c r="C23" t="s">
        <v>13</v>
      </c>
      <c r="D23">
        <v>1.6</v>
      </c>
    </row>
    <row r="24" spans="1:4" x14ac:dyDescent="0.35">
      <c r="A24" t="s">
        <v>9</v>
      </c>
      <c r="B24" t="s">
        <v>6</v>
      </c>
      <c r="C24" t="s">
        <v>13</v>
      </c>
      <c r="D24">
        <v>3.2</v>
      </c>
    </row>
    <row r="25" spans="1:4" x14ac:dyDescent="0.35">
      <c r="A25" t="s">
        <v>9</v>
      </c>
      <c r="B25" t="s">
        <v>7</v>
      </c>
      <c r="C25" t="s">
        <v>13</v>
      </c>
      <c r="D25">
        <v>6.1</v>
      </c>
    </row>
    <row r="26" spans="1:4" x14ac:dyDescent="0.35">
      <c r="A26" t="s">
        <v>10</v>
      </c>
      <c r="B26" t="s">
        <v>4</v>
      </c>
      <c r="C26" t="s">
        <v>12</v>
      </c>
      <c r="D26">
        <v>28.8</v>
      </c>
    </row>
    <row r="27" spans="1:4" x14ac:dyDescent="0.35">
      <c r="A27" t="s">
        <v>10</v>
      </c>
      <c r="B27" t="s">
        <v>5</v>
      </c>
      <c r="C27" t="s">
        <v>12</v>
      </c>
      <c r="D27">
        <v>0.9</v>
      </c>
    </row>
    <row r="28" spans="1:4" x14ac:dyDescent="0.35">
      <c r="A28" t="s">
        <v>10</v>
      </c>
      <c r="B28" t="s">
        <v>6</v>
      </c>
      <c r="C28" t="s">
        <v>12</v>
      </c>
      <c r="D28">
        <v>2.9</v>
      </c>
    </row>
    <row r="29" spans="1:4" x14ac:dyDescent="0.35">
      <c r="A29" t="s">
        <v>10</v>
      </c>
      <c r="B29" t="s">
        <v>7</v>
      </c>
      <c r="C29" t="s">
        <v>12</v>
      </c>
      <c r="D29">
        <v>1</v>
      </c>
    </row>
    <row r="30" spans="1:4" x14ac:dyDescent="0.35">
      <c r="A30" t="s">
        <v>10</v>
      </c>
      <c r="B30" t="s">
        <v>4</v>
      </c>
      <c r="C30" t="s">
        <v>13</v>
      </c>
      <c r="D30">
        <v>61.9</v>
      </c>
    </row>
    <row r="31" spans="1:4" x14ac:dyDescent="0.35">
      <c r="A31" t="s">
        <v>10</v>
      </c>
      <c r="B31" t="s">
        <v>5</v>
      </c>
      <c r="C31" t="s">
        <v>13</v>
      </c>
      <c r="D31">
        <v>2.1</v>
      </c>
    </row>
    <row r="32" spans="1:4" x14ac:dyDescent="0.35">
      <c r="A32" t="s">
        <v>10</v>
      </c>
      <c r="B32" t="s">
        <v>6</v>
      </c>
      <c r="C32" t="s">
        <v>13</v>
      </c>
      <c r="D32">
        <v>1.4</v>
      </c>
    </row>
    <row r="33" spans="1:4" x14ac:dyDescent="0.35">
      <c r="A33" t="s">
        <v>10</v>
      </c>
      <c r="B33" t="s">
        <v>7</v>
      </c>
      <c r="C33" t="s">
        <v>13</v>
      </c>
      <c r="D33">
        <v>1.1000000000000001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3BBE-E7EC-48AD-AF00-0A719D0C4F81}">
  <dimension ref="A1:D17"/>
  <sheetViews>
    <sheetView workbookViewId="0">
      <selection sqref="A1:D17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12</v>
      </c>
      <c r="D1" t="s">
        <v>13</v>
      </c>
    </row>
    <row r="2" spans="1:4" x14ac:dyDescent="0.35">
      <c r="A2" t="s">
        <v>4</v>
      </c>
      <c r="B2" t="s">
        <v>3</v>
      </c>
      <c r="C2">
        <v>28.7</v>
      </c>
      <c r="D2">
        <v>55</v>
      </c>
    </row>
    <row r="3" spans="1:4" x14ac:dyDescent="0.35">
      <c r="B3" t="s">
        <v>8</v>
      </c>
      <c r="C3">
        <v>24.8</v>
      </c>
      <c r="D3">
        <v>64.400000000000006</v>
      </c>
    </row>
    <row r="4" spans="1:4" x14ac:dyDescent="0.35">
      <c r="B4" t="s">
        <v>9</v>
      </c>
      <c r="C4">
        <v>24</v>
      </c>
      <c r="D4">
        <v>57.9</v>
      </c>
    </row>
    <row r="5" spans="1:4" x14ac:dyDescent="0.35">
      <c r="B5" t="s">
        <v>10</v>
      </c>
      <c r="C5">
        <v>28.8</v>
      </c>
      <c r="D5">
        <v>61.9</v>
      </c>
    </row>
    <row r="6" spans="1:4" x14ac:dyDescent="0.35">
      <c r="A6" t="s">
        <v>6</v>
      </c>
      <c r="B6" t="s">
        <v>3</v>
      </c>
      <c r="C6">
        <v>3.8</v>
      </c>
      <c r="D6">
        <v>2.9</v>
      </c>
    </row>
    <row r="7" spans="1:4" x14ac:dyDescent="0.35">
      <c r="B7" t="s">
        <v>8</v>
      </c>
      <c r="C7">
        <v>2.2000000000000002</v>
      </c>
      <c r="D7">
        <v>1.5</v>
      </c>
    </row>
    <row r="8" spans="1:4" x14ac:dyDescent="0.35">
      <c r="B8" t="s">
        <v>9</v>
      </c>
      <c r="C8">
        <v>2.8</v>
      </c>
      <c r="D8">
        <v>3.2</v>
      </c>
    </row>
    <row r="9" spans="1:4" x14ac:dyDescent="0.35">
      <c r="B9" t="s">
        <v>10</v>
      </c>
      <c r="C9">
        <v>2.9</v>
      </c>
      <c r="D9">
        <v>1.4</v>
      </c>
    </row>
    <row r="10" spans="1:4" x14ac:dyDescent="0.35">
      <c r="A10" t="s">
        <v>7</v>
      </c>
      <c r="B10" t="s">
        <v>3</v>
      </c>
      <c r="C10">
        <v>1.8</v>
      </c>
      <c r="D10">
        <v>2.9</v>
      </c>
    </row>
    <row r="11" spans="1:4" x14ac:dyDescent="0.35">
      <c r="B11" t="s">
        <v>8</v>
      </c>
      <c r="C11">
        <v>1</v>
      </c>
      <c r="D11">
        <v>1.1000000000000001</v>
      </c>
    </row>
    <row r="12" spans="1:4" x14ac:dyDescent="0.35">
      <c r="B12" t="s">
        <v>9</v>
      </c>
      <c r="C12">
        <v>4</v>
      </c>
      <c r="D12">
        <v>6.1</v>
      </c>
    </row>
    <row r="13" spans="1:4" x14ac:dyDescent="0.35">
      <c r="B13" t="s">
        <v>10</v>
      </c>
      <c r="C13">
        <v>1</v>
      </c>
      <c r="D13">
        <v>1.1000000000000001</v>
      </c>
    </row>
    <row r="14" spans="1:4" x14ac:dyDescent="0.35">
      <c r="A14" t="s">
        <v>5</v>
      </c>
      <c r="B14" t="s">
        <v>3</v>
      </c>
      <c r="C14">
        <v>1.3</v>
      </c>
      <c r="D14">
        <v>3.4</v>
      </c>
    </row>
    <row r="15" spans="1:4" x14ac:dyDescent="0.35">
      <c r="B15" t="s">
        <v>8</v>
      </c>
      <c r="C15">
        <v>1.2</v>
      </c>
      <c r="D15">
        <v>3.9</v>
      </c>
    </row>
    <row r="16" spans="1:4" x14ac:dyDescent="0.35">
      <c r="B16" t="s">
        <v>9</v>
      </c>
      <c r="C16">
        <v>0.4</v>
      </c>
      <c r="D16">
        <v>1.6</v>
      </c>
    </row>
    <row r="17" spans="2:4" x14ac:dyDescent="0.35">
      <c r="B17" t="s">
        <v>10</v>
      </c>
      <c r="C17">
        <v>0.9</v>
      </c>
      <c r="D17">
        <v>2.1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1701-0D5D-4B13-876D-DF8799AD3C71}">
  <dimension ref="A1:O20"/>
  <sheetViews>
    <sheetView zoomScale="55" zoomScaleNormal="55" workbookViewId="0">
      <selection activeCell="Z19" sqref="Z19"/>
    </sheetView>
  </sheetViews>
  <sheetFormatPr defaultRowHeight="14.5" x14ac:dyDescent="0.35"/>
  <cols>
    <col min="3" max="11" width="7" customWidth="1"/>
  </cols>
  <sheetData>
    <row r="1" spans="1:15" x14ac:dyDescent="0.35">
      <c r="A1" s="6" t="s">
        <v>0</v>
      </c>
      <c r="B1" s="6" t="s">
        <v>18</v>
      </c>
      <c r="C1" s="5" t="s">
        <v>4</v>
      </c>
      <c r="D1" s="5"/>
      <c r="E1" s="5" t="s">
        <v>6</v>
      </c>
      <c r="F1" s="5"/>
      <c r="G1" s="5" t="s">
        <v>7</v>
      </c>
      <c r="H1" s="5"/>
      <c r="I1" s="5" t="s">
        <v>5</v>
      </c>
      <c r="J1" s="5"/>
      <c r="L1" s="5" t="s">
        <v>22</v>
      </c>
      <c r="O1" t="s">
        <v>23</v>
      </c>
    </row>
    <row r="2" spans="1:15" x14ac:dyDescent="0.35">
      <c r="A2" s="6"/>
      <c r="B2" s="6"/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L2" s="5"/>
      <c r="N2" t="s">
        <v>0</v>
      </c>
      <c r="O2">
        <f>_xlfn.STDEV.P(C3:J3)</f>
        <v>0.18190244638266961</v>
      </c>
    </row>
    <row r="3" spans="1:15" x14ac:dyDescent="0.35">
      <c r="A3" t="s">
        <v>19</v>
      </c>
      <c r="B3" t="s">
        <v>24</v>
      </c>
      <c r="C3">
        <v>0.55000000000000004</v>
      </c>
      <c r="D3">
        <v>0.28699999999999998</v>
      </c>
      <c r="E3">
        <v>2.9000000000000001E-2</v>
      </c>
      <c r="F3">
        <v>3.7999999999999999E-2</v>
      </c>
      <c r="G3">
        <v>2.9000000000000001E-2</v>
      </c>
      <c r="H3">
        <v>1.9E-2</v>
      </c>
      <c r="I3">
        <v>3.4000000000000002E-2</v>
      </c>
      <c r="J3">
        <v>1.4E-2</v>
      </c>
      <c r="K3">
        <f>1-SUM(C3:J3)</f>
        <v>0</v>
      </c>
      <c r="L3">
        <f>_xlfn.STDEV.P(C3:J3)</f>
        <v>0.18190244638266961</v>
      </c>
      <c r="N3" t="s">
        <v>8</v>
      </c>
      <c r="O3">
        <f t="shared" ref="O3:O5" si="0">_xlfn.STDEV.P(C4:J4)</f>
        <v>0.21023346397517212</v>
      </c>
    </row>
    <row r="4" spans="1:15" x14ac:dyDescent="0.35">
      <c r="A4" t="s">
        <v>19</v>
      </c>
      <c r="B4" t="s">
        <v>8</v>
      </c>
      <c r="C4">
        <v>0.64400000000000002</v>
      </c>
      <c r="D4">
        <v>0.248</v>
      </c>
      <c r="E4">
        <v>1.4999999999999999E-2</v>
      </c>
      <c r="F4">
        <v>2.1999999999999999E-2</v>
      </c>
      <c r="G4">
        <v>1.0999999999999999E-2</v>
      </c>
      <c r="H4">
        <v>0.01</v>
      </c>
      <c r="I4">
        <v>3.9E-2</v>
      </c>
      <c r="J4">
        <v>1.2E-2</v>
      </c>
      <c r="K4">
        <f t="shared" ref="K4:K6" si="1">1-SUM(C4:J4)</f>
        <v>-1.0000000000001119E-3</v>
      </c>
      <c r="L4">
        <f t="shared" ref="L4:L6" si="2">_xlfn.STDEV.P(C4:J4)</f>
        <v>0.21023346397517212</v>
      </c>
      <c r="N4" t="s">
        <v>9</v>
      </c>
      <c r="O4">
        <f t="shared" si="0"/>
        <v>0.1854865224214417</v>
      </c>
    </row>
    <row r="5" spans="1:15" x14ac:dyDescent="0.35">
      <c r="A5" t="s">
        <v>19</v>
      </c>
      <c r="B5" t="s">
        <v>9</v>
      </c>
      <c r="C5">
        <v>0.57899999999999996</v>
      </c>
      <c r="D5">
        <v>0.24</v>
      </c>
      <c r="E5">
        <v>3.2000000000000001E-2</v>
      </c>
      <c r="F5">
        <v>2.8000000000000001E-2</v>
      </c>
      <c r="G5">
        <v>6.0999999999999999E-2</v>
      </c>
      <c r="H5">
        <v>0.04</v>
      </c>
      <c r="I5">
        <v>1.6E-2</v>
      </c>
      <c r="J5">
        <v>4.0000000000000001E-3</v>
      </c>
      <c r="K5">
        <f t="shared" si="1"/>
        <v>0</v>
      </c>
      <c r="L5">
        <f t="shared" si="2"/>
        <v>0.1854865224214417</v>
      </c>
      <c r="N5" t="s">
        <v>10</v>
      </c>
      <c r="O5">
        <f t="shared" si="0"/>
        <v>0.20701569988771382</v>
      </c>
    </row>
    <row r="6" spans="1:15" x14ac:dyDescent="0.35">
      <c r="A6" t="s">
        <v>19</v>
      </c>
      <c r="B6" t="s">
        <v>10</v>
      </c>
      <c r="C6">
        <v>0.61899999999999999</v>
      </c>
      <c r="D6">
        <v>0.28799999999999998</v>
      </c>
      <c r="E6">
        <v>1.4E-2</v>
      </c>
      <c r="F6">
        <v>2.9000000000000001E-2</v>
      </c>
      <c r="G6">
        <v>1.0999999999999999E-2</v>
      </c>
      <c r="H6">
        <v>0.01</v>
      </c>
      <c r="I6">
        <v>0.02</v>
      </c>
      <c r="J6">
        <v>8.9999999999999993E-3</v>
      </c>
      <c r="K6">
        <f t="shared" si="1"/>
        <v>0</v>
      </c>
      <c r="L6">
        <f t="shared" si="2"/>
        <v>0.20701569988771382</v>
      </c>
    </row>
    <row r="8" spans="1:15" x14ac:dyDescent="0.35">
      <c r="C8" s="5" t="s">
        <v>4</v>
      </c>
      <c r="D8" s="5"/>
      <c r="E8" s="5" t="s">
        <v>6</v>
      </c>
      <c r="F8" s="5"/>
      <c r="G8" s="5" t="s">
        <v>7</v>
      </c>
      <c r="H8" s="5"/>
      <c r="I8" s="5" t="s">
        <v>5</v>
      </c>
      <c r="J8" s="5"/>
    </row>
    <row r="9" spans="1:15" x14ac:dyDescent="0.35">
      <c r="C9" t="s">
        <v>13</v>
      </c>
      <c r="D9" t="s">
        <v>12</v>
      </c>
      <c r="E9" t="s">
        <v>13</v>
      </c>
      <c r="F9" t="s">
        <v>12</v>
      </c>
      <c r="G9" t="s">
        <v>13</v>
      </c>
      <c r="H9" t="s">
        <v>12</v>
      </c>
      <c r="I9" t="s">
        <v>13</v>
      </c>
      <c r="J9" t="s">
        <v>12</v>
      </c>
    </row>
    <row r="10" spans="1:15" x14ac:dyDescent="0.35">
      <c r="A10" t="s">
        <v>20</v>
      </c>
      <c r="B10" t="s">
        <v>20</v>
      </c>
      <c r="C10">
        <f>ROUND(12331/82439, 3)</f>
        <v>0.15</v>
      </c>
      <c r="D10">
        <f>ROUND(15546/82439, 3)</f>
        <v>0.189</v>
      </c>
      <c r="E10">
        <f>ROUND(6233/82439, 3)</f>
        <v>7.5999999999999998E-2</v>
      </c>
      <c r="F10">
        <f>ROUND(6177/82439, 3)</f>
        <v>7.4999999999999997E-2</v>
      </c>
      <c r="G10">
        <f>ROUND(7389/82439, 3)</f>
        <v>0.09</v>
      </c>
      <c r="H10">
        <f>ROUND(9344/82439, 3)</f>
        <v>0.113</v>
      </c>
      <c r="I10">
        <f>ROUND(12266/82439, 3)</f>
        <v>0.14899999999999999</v>
      </c>
      <c r="J10">
        <f>ROUND(13153/82439, 3)</f>
        <v>0.16</v>
      </c>
      <c r="K10">
        <f>SUM(C10:J10)</f>
        <v>1.002</v>
      </c>
    </row>
    <row r="11" spans="1:15" x14ac:dyDescent="0.35">
      <c r="A11" t="s">
        <v>20</v>
      </c>
      <c r="B11" t="s">
        <v>8</v>
      </c>
      <c r="C11">
        <f>ROUND(363/1246, 3)</f>
        <v>0.29099999999999998</v>
      </c>
      <c r="D11">
        <f>ROUND(269/1246, 3)</f>
        <v>0.216</v>
      </c>
      <c r="E11">
        <f>ROUND(60/1246, 3)</f>
        <v>4.8000000000000001E-2</v>
      </c>
      <c r="F11">
        <f>ROUND(32/1246, 3)</f>
        <v>2.5999999999999999E-2</v>
      </c>
      <c r="G11">
        <f>ROUND(58/1246, 3)</f>
        <v>4.7E-2</v>
      </c>
      <c r="H11">
        <f>ROUND(49/1246, 3)</f>
        <v>3.9E-2</v>
      </c>
      <c r="I11">
        <f>ROUND(246/1246, 3)</f>
        <v>0.19700000000000001</v>
      </c>
      <c r="J11">
        <f>ROUND(169/1246, 3)</f>
        <v>0.13600000000000001</v>
      </c>
      <c r="K11">
        <f>SUM(C11:J11)</f>
        <v>1</v>
      </c>
    </row>
    <row r="12" spans="1:15" x14ac:dyDescent="0.35">
      <c r="A12" t="s">
        <v>20</v>
      </c>
      <c r="B12" t="s">
        <v>9</v>
      </c>
      <c r="C12">
        <f>ROUND(387/3119, 3)</f>
        <v>0.124</v>
      </c>
      <c r="D12">
        <f>ROUND(349/3119, 3)</f>
        <v>0.112</v>
      </c>
      <c r="E12">
        <f>ROUND(244/3119, 3)</f>
        <v>7.8E-2</v>
      </c>
      <c r="F12">
        <f>ROUND(171/3119, 3)</f>
        <v>5.5E-2</v>
      </c>
      <c r="G12">
        <f>ROUND(703/3119, 3)</f>
        <v>0.22500000000000001</v>
      </c>
      <c r="H12">
        <f>ROUND(657/3119, 3)</f>
        <v>0.21099999999999999</v>
      </c>
      <c r="I12">
        <f>ROUND(405/3119, 3)</f>
        <v>0.13</v>
      </c>
      <c r="J12">
        <f>ROUND(203/3119, 3)</f>
        <v>6.5000000000000002E-2</v>
      </c>
      <c r="K12">
        <f>SUM(C12:J12)</f>
        <v>1</v>
      </c>
    </row>
    <row r="13" spans="1:15" x14ac:dyDescent="0.35">
      <c r="A13" t="s">
        <v>20</v>
      </c>
      <c r="B13" t="s">
        <v>10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</row>
    <row r="15" spans="1:15" x14ac:dyDescent="0.35">
      <c r="C15" s="5" t="s">
        <v>4</v>
      </c>
      <c r="D15" s="5"/>
      <c r="E15" s="5" t="s">
        <v>6</v>
      </c>
      <c r="F15" s="5"/>
      <c r="G15" s="5" t="s">
        <v>7</v>
      </c>
      <c r="H15" s="5"/>
      <c r="I15" s="5" t="s">
        <v>5</v>
      </c>
      <c r="J15" s="5"/>
    </row>
    <row r="16" spans="1:15" x14ac:dyDescent="0.35">
      <c r="C16" t="s">
        <v>13</v>
      </c>
      <c r="D16" t="s">
        <v>12</v>
      </c>
      <c r="E16" t="s">
        <v>13</v>
      </c>
      <c r="F16" t="s">
        <v>12</v>
      </c>
      <c r="G16" t="s">
        <v>13</v>
      </c>
      <c r="H16" t="s">
        <v>12</v>
      </c>
      <c r="I16" t="s">
        <v>13</v>
      </c>
      <c r="J16" t="s">
        <v>12</v>
      </c>
    </row>
    <row r="17" spans="2:11" x14ac:dyDescent="0.35">
      <c r="B17" t="s">
        <v>21</v>
      </c>
      <c r="C17">
        <f>6000/48000</f>
        <v>0.125</v>
      </c>
      <c r="D17">
        <v>0.125</v>
      </c>
      <c r="E17">
        <v>0.125</v>
      </c>
      <c r="F17">
        <v>0.125</v>
      </c>
      <c r="G17">
        <v>0.125</v>
      </c>
      <c r="H17">
        <v>0.125</v>
      </c>
      <c r="I17">
        <v>0.125</v>
      </c>
      <c r="J17">
        <v>0.125</v>
      </c>
      <c r="K17">
        <f t="shared" ref="K15:K21" si="3">SUM(C17:J17)</f>
        <v>1</v>
      </c>
    </row>
    <row r="18" spans="2:11" x14ac:dyDescent="0.35">
      <c r="B18" t="s">
        <v>8</v>
      </c>
      <c r="C18">
        <f>ROUND(545/2188, 3)</f>
        <v>0.249</v>
      </c>
      <c r="D18">
        <f>ROUND(379/2188, 3)</f>
        <v>0.17299999999999999</v>
      </c>
      <c r="E18">
        <f>ROUND(184/2188, 3)</f>
        <v>8.4000000000000005E-2</v>
      </c>
      <c r="F18">
        <f>ROUND(170/2188, 3)</f>
        <v>7.8E-2</v>
      </c>
      <c r="G18">
        <f>ROUND(175/2188, 3)</f>
        <v>0.08</v>
      </c>
      <c r="H18">
        <f>ROUND(154/2188, 3)</f>
        <v>7.0000000000000007E-2</v>
      </c>
      <c r="I18">
        <f>ROUND(322/2188, 3)</f>
        <v>0.14699999999999999</v>
      </c>
      <c r="J18">
        <f>ROUND(259/2188, 3)</f>
        <v>0.11799999999999999</v>
      </c>
      <c r="K18">
        <f t="shared" si="3"/>
        <v>0.999</v>
      </c>
    </row>
    <row r="19" spans="2:11" x14ac:dyDescent="0.35">
      <c r="B19" t="s">
        <v>9</v>
      </c>
      <c r="C19">
        <f>ROUND(345/2897, 3)</f>
        <v>0.11899999999999999</v>
      </c>
      <c r="D19">
        <f>ROUND(289/2897, 3)</f>
        <v>0.1</v>
      </c>
      <c r="E19">
        <f>ROUND(336/2897, 3)</f>
        <v>0.11600000000000001</v>
      </c>
      <c r="F19">
        <f>ROUND(218/2897, 3)</f>
        <v>7.4999999999999997E-2</v>
      </c>
      <c r="G19">
        <f>ROUND(559/2897, 3)</f>
        <v>0.193</v>
      </c>
      <c r="H19">
        <f>ROUND(444/2897, 3)</f>
        <v>0.153</v>
      </c>
      <c r="I19">
        <f>ROUND(418/2897, 3)</f>
        <v>0.14399999999999999</v>
      </c>
      <c r="J19">
        <f>ROUND(288/2897, 3)</f>
        <v>9.9000000000000005E-2</v>
      </c>
      <c r="K19">
        <f t="shared" si="3"/>
        <v>0.999</v>
      </c>
    </row>
    <row r="20" spans="2:11" x14ac:dyDescent="0.35">
      <c r="B20" t="s">
        <v>10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>
        <f t="shared" si="3"/>
        <v>0</v>
      </c>
    </row>
  </sheetData>
  <mergeCells count="13">
    <mergeCell ref="C15:D15"/>
    <mergeCell ref="E15:F15"/>
    <mergeCell ref="G15:H15"/>
    <mergeCell ref="I15:J15"/>
    <mergeCell ref="L1:L2"/>
    <mergeCell ref="C8:D8"/>
    <mergeCell ref="E8:F8"/>
    <mergeCell ref="G8:H8"/>
    <mergeCell ref="I8:J8"/>
    <mergeCell ref="C1:D1"/>
    <mergeCell ref="E1:F1"/>
    <mergeCell ref="G1:H1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CelebA-HQ</vt:lpstr>
      <vt:lpstr>plot</vt:lpstr>
      <vt:lpstr>plot2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Subir Parida</dc:creator>
  <cp:lastModifiedBy>Subir Parida</cp:lastModifiedBy>
  <dcterms:created xsi:type="dcterms:W3CDTF">2024-02-13T13:24:45Z</dcterms:created>
  <dcterms:modified xsi:type="dcterms:W3CDTF">2024-02-25T15:01:19Z</dcterms:modified>
</cp:coreProperties>
</file>